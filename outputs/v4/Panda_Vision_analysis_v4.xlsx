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234fe4681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274ac318ffe40f2"/>
    <x:sheet xmlns:r="http://schemas.openxmlformats.org/officeDocument/2006/relationships" name="Summary" sheetId="2" r:id="Ra4be9620ba624c5c"/>
    <x:sheet xmlns:r="http://schemas.openxmlformats.org/officeDocument/2006/relationships" name="PSA" sheetId="3" r:id="R74c7fb489dc24f35"/>
    <x:sheet xmlns:r="http://schemas.openxmlformats.org/officeDocument/2006/relationships" name="Scenarios" sheetId="4" r:id="Rcdf1eba1fc18438b"/>
    <x:sheet xmlns:r="http://schemas.openxmlformats.org/officeDocument/2006/relationships" name="Equipment life" sheetId="5" r:id="Ra5a1705f5d5547bf"/>
    <x:sheet xmlns:r="http://schemas.openxmlformats.org/officeDocument/2006/relationships" name="Break even" sheetId="6" r:id="Rf21a9fe48cee4a29"/>
    <x:sheet xmlns:r="http://schemas.openxmlformats.org/officeDocument/2006/relationships" name="MC precision" sheetId="7" r:id="Re4ea600fed514322"/>
    <x:sheet xmlns:r="http://schemas.openxmlformats.org/officeDocument/2006/relationships" name="Seed checks" sheetId="8" r:id="R65ef0e881e514369"/>
    <x:sheet xmlns:r="http://schemas.openxmlformats.org/officeDocument/2006/relationships" name="Pilot budget" sheetId="9" r:id="R74783b17a88f4811"/>
    <x:sheet xmlns:r="http://schemas.openxmlformats.org/officeDocument/2006/relationships" name="State budget" sheetId="10" r:id="Rc1f7ac2625bb4d15"/>
    <x:sheet xmlns:r="http://schemas.openxmlformats.org/officeDocument/2006/relationships" name="Sites" sheetId="11" r:id="R6e0100878c6a4919"/>
    <x:sheet xmlns:r="http://schemas.openxmlformats.org/officeDocument/2006/relationships" name="Survival frontier" sheetId="12" r:id="Re22a6e516597471f"/>
    <x:sheet xmlns:r="http://schemas.openxmlformats.org/officeDocument/2006/relationships" name="Funding sensitivity" sheetId="13" r:id="R0e3bf45da6e94688"/>
    <x:sheet xmlns:r="http://schemas.openxmlformats.org/officeDocument/2006/relationships" name="Parameters" sheetId="14" r:id="Rcc3501aef5e2462f"/>
    <x:sheet xmlns:r="http://schemas.openxmlformats.org/officeDocument/2006/relationships" name="Sources" sheetId="15" r:id="Rad5442c7fa4747c9"/>
    <x:sheet xmlns:r="http://schemas.openxmlformats.org/officeDocument/2006/relationships" name="Literature" sheetId="16" r:id="Rbf172d6be3ef4bee"/>
    <x:sheet xmlns:r="http://schemas.openxmlformats.org/officeDocument/2006/relationships" name="Assurance" sheetId="17" r:id="R73ebca53b639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[Red]($#,##0);–"/>
    <x:numFmt numFmtId="201" formatCode="0.0"/>
    <x:numFmt numFmtId="202" formatCode="$#,##0;[Red]($#,##0)"/>
    <x:numFmt numFmtId="203" formatCode="0.00%"/>
    <x:numFmt numFmtId="204" formatCode="#,##0.00;[Red](#,##0.00)"/>
    <x:numFmt numFmtId="205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35C"/>
      </x:patternFill>
    </x:fill>
    <x:fill>
      <x:patternFill patternType="solid">
        <x:fgColor rgb="FF2F8993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2" fillId="0" borderId="0" xfId="0" applyNumberFormat="1" applyFont="1" applyFill="1" applyBorder="1"/>
    <x:xf numFmtId="202" fontId="2" fillId="0" borderId="1" xfId="0" applyNumberFormat="1" applyFont="1" applyFill="1" applyBorder="1"/>
    <x:xf numFmtId="203" fontId="2" fillId="0" borderId="0" xfId="0" applyNumberFormat="1" applyFont="1" applyFill="1" applyBorder="1"/>
    <x:xf numFmtId="203" fontId="2" fillId="0" borderId="1" xfId="0" applyNumberFormat="1" applyFont="1" applyFill="1" applyBorder="1"/>
    <x:xf numFmtId="204" fontId="2" fillId="0" borderId="0" xfId="0" applyNumberFormat="1" applyFont="1" applyFill="1" applyBorder="1"/>
    <x:xf numFmtId="204" fontId="2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486526b384a98" /><Relationship Type="http://schemas.openxmlformats.org/officeDocument/2006/relationships/theme" Target="/xl/theme/theme1.xml" Id="R9490181710614e26" /><Relationship Type="http://schemas.microsoft.com/office/2022/11/relationships/FeaturePropertyBag" Target="/xl/featurePropertyBag/featurePropertyBag.xml" Id="R50ae5d7f196c487a" /><Relationship Type="http://schemas.openxmlformats.org/officeDocument/2006/relationships/sharedStrings" Target="/xl/sharedStrings.xml" Id="R586394008b0e4a7b" /><Relationship Type="http://schemas.openxmlformats.org/officeDocument/2006/relationships/worksheet" Target="/xl/worksheets/sheet1.xml" Id="Rf274ac318ffe40f2" /><Relationship Type="http://schemas.openxmlformats.org/officeDocument/2006/relationships/worksheet" Target="/xl/worksheets/sheet2.xml" Id="Ra4be9620ba624c5c" /><Relationship Type="http://schemas.openxmlformats.org/officeDocument/2006/relationships/worksheet" Target="/xl/worksheets/sheet3.xml" Id="R74c7fb489dc24f35" /><Relationship Type="http://schemas.openxmlformats.org/officeDocument/2006/relationships/worksheet" Target="/xl/worksheets/sheet4.xml" Id="Rcdf1eba1fc18438b" /><Relationship Type="http://schemas.openxmlformats.org/officeDocument/2006/relationships/worksheet" Target="/xl/worksheets/sheet5.xml" Id="Ra5a1705f5d5547bf" /><Relationship Type="http://schemas.openxmlformats.org/officeDocument/2006/relationships/worksheet" Target="/xl/worksheets/sheet6.xml" Id="Rf21a9fe48cee4a29" /><Relationship Type="http://schemas.openxmlformats.org/officeDocument/2006/relationships/worksheet" Target="/xl/worksheets/sheet7.xml" Id="Re4ea600fed514322" /><Relationship Type="http://schemas.openxmlformats.org/officeDocument/2006/relationships/worksheet" Target="/xl/worksheets/sheet8.xml" Id="R65ef0e881e514369" /><Relationship Type="http://schemas.openxmlformats.org/officeDocument/2006/relationships/worksheet" Target="/xl/worksheets/sheet9.xml" Id="R74783b17a88f4811" /><Relationship Type="http://schemas.openxmlformats.org/officeDocument/2006/relationships/worksheet" Target="/xl/worksheets/sheet10.xml" Id="Rc1f7ac2625bb4d15" /><Relationship Type="http://schemas.openxmlformats.org/officeDocument/2006/relationships/worksheet" Target="/xl/worksheets/sheet11.xml" Id="R6e0100878c6a4919" /><Relationship Type="http://schemas.openxmlformats.org/officeDocument/2006/relationships/worksheet" Target="/xl/worksheets/sheet12.xml" Id="Re22a6e516597471f" /><Relationship Type="http://schemas.openxmlformats.org/officeDocument/2006/relationships/worksheet" Target="/xl/worksheets/sheet13.xml" Id="R0e3bf45da6e94688" /><Relationship Type="http://schemas.openxmlformats.org/officeDocument/2006/relationships/worksheet" Target="/xl/worksheets/sheet14.xml" Id="Rcc3501aef5e2462f" /><Relationship Type="http://schemas.openxmlformats.org/officeDocument/2006/relationships/worksheet" Target="/xl/worksheets/sheet15.xml" Id="Rad5442c7fa4747c9" /><Relationship Type="http://schemas.openxmlformats.org/officeDocument/2006/relationships/worksheet" Target="/xl/worksheets/sheet16.xml" Id="Rbf172d6be3ef4bee" /><Relationship Type="http://schemas.openxmlformats.org/officeDocument/2006/relationships/worksheet" Target="/xl/worksheets/sheet17.xml" Id="R73ebca53b6394f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3d94b7c16e4d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Cost-saving probability depends on assumed effect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Pilot probability</c:v>
          </c:tx>
          <c:cat>
            <c:strRef>
              <c:f>'Summary'!$A$16:$A$18</c:f>
              <c:strCache>
                <c:ptCount val="0"/>
              </c:strCache>
            </c:strRef>
          </c:cat>
          <c:val>
            <c:numRef>
              <c:f>'Summary'!$B$16:$B$18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State probability</c:v>
          </c:tx>
          <c:cat>
            <c:strRef>
              <c:f>'Summary'!$A$16:$A$18</c:f>
              <c:strCache>
                <c:ptCount val="0"/>
              </c:strCache>
            </c:strRef>
          </c:cat>
          <c:val>
            <c:numRef>
              <c:f>'Summary'!$C$16:$C$18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3d94b7c16e4d0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Readme" displayName="T_Readme" ref="A4:B14" headerRowCount="1" totalsRowCount="0" totalsRowShown="0">
  <x:tableColumns count="2">
    <x:tableColumn id="1" name="Item"/>
    <x:tableColumn id="2" name="Mea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ummary" displayName="T_Summary" ref="A4:D11" headerRowCount="1" totalsRowCount="0" totalsRowShown="0">
  <x:tableColumns count="4">
    <x:tableColumn id="1" name="Measure"/>
    <x:tableColumn id="2" name="Pilot: 3 sites"/>
    <x:tableColumn id="3" name="Illustrative 33-site network"/>
    <x:tableColumn id="4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SA" displayName="T_PSA" ref="A4:H12" headerRowCount="1" totalsRowCount="0" totalsRowShown="0">
  <x:tableColumns count="8">
    <x:tableColumn id="1" name="Structure"/>
    <x:tableColumn id="2" name="Draws"/>
    <x:tableColumn id="3" name="Mean net saving"/>
    <x:tableColumn id="4" name="Median"/>
    <x:tableColumn id="5" name="2.5th percentile"/>
    <x:tableColumn id="6" name="97.5th percentile"/>
    <x:tableColumn id="7" name="Probability cost saving"/>
    <x:tableColumn id="8" name="Monte Carlo 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cenarios" displayName="T_Scenarios" ref="A4:M62" headerRowCount="1" totalsRowCount="0" totalsRowShown="0">
  <x:tableColumns count="13">
    <x:tableColumn id="1" name="portfolio"/>
    <x:tableColumn id="2" name="scenario"/>
    <x:tableColumn id="3" name="consultations"/>
    <x:tableColumn id="4" name="avoided_transfers"/>
    <x:tableColumn id="5" name="programme_cost"/>
    <x:tableColumn id="6" name="gross_resource_benefit"/>
    <x:tableColumn id="7" name="family_benefit"/>
    <x:tableColumn id="8" name="cash_running_cost"/>
    <x:tableColumn id="9" name="net_saving"/>
    <x:tableColumn id="10" name="societal_net_saving"/>
    <x:tableColumn id="11" name="site_count"/>
    <x:tableColumn id="12" name="births_2022"/>
    <x:tableColumn id="13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Equipmentlife" displayName="T_Equipmentlife" ref="A4:M10" headerRowCount="1" totalsRowCount="0" totalsRowShown="0">
  <x:tableColumns count="13">
    <x:tableColumn id="1" name="portfolio"/>
    <x:tableColumn id="2" name="equipment_life_years"/>
    <x:tableColumn id="3" name="consultations"/>
    <x:tableColumn id="4" name="avoided_transfers"/>
    <x:tableColumn id="5" name="programme_cost"/>
    <x:tableColumn id="6" name="gross_resource_benefit"/>
    <x:tableColumn id="7" name="family_benefit"/>
    <x:tableColumn id="8" name="cash_running_cost"/>
    <x:tableColumn id="9" name="net_saving"/>
    <x:tableColumn id="10" name="societal_net_saving"/>
    <x:tableColumn id="11" name="site_count"/>
    <x:tableColumn id="12" name="births_2022"/>
    <x:tableColumn id="13" name="interpre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Breakeven" displayName="T_Breakeven" ref="A4:E22" headerRowCount="1" totalsRowCount="0" totalsRowShown="0">
  <x:tableColumns count="5">
    <x:tableColumn id="1" name="portfolio"/>
    <x:tableColumn id="2" name="calls_per_pilot_site"/>
    <x:tableColumn id="3" name="avoidable_fraction"/>
    <x:tableColumn id="4" name="break_even_transfer_odds_ratio"/>
    <x:tableColumn id="5" name="interpre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MCprecision" displayName="T_MCprecision" ref="A4:F12" headerRowCount="1" totalsRowCount="0" totalsRowShown="0">
  <x:tableColumns count="6">
    <x:tableColumn id="1" name="portfolio"/>
    <x:tableColumn id="2" name="draws"/>
    <x:tableColumn id="3" name="p_saving"/>
    <x:tableColumn id="4" name="mcse_probability"/>
    <x:tableColumn id="5" name="mean_net_saving"/>
    <x:tableColumn id="6" name="mcse_mea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Seedchecks" displayName="T_Seedchecks" ref="A4:E10" headerRowCount="1" totalsRowCount="0" totalsRowShown="0">
  <x:tableColumns count="5">
    <x:tableColumn id="1" name="portfolio"/>
    <x:tableColumn id="2" name="seed"/>
    <x:tableColumn id="3" name="draws"/>
    <x:tableColumn id="4" name="p_saving"/>
    <x:tableColumn id="5" name="mean_net_saving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Pilotbudget" displayName="T_Pilotbudget" ref="A4:D9" headerRowCount="1" totalsRowCount="0" totalsRowShown="0">
  <x:tableColumns count="4">
    <x:tableColumn id="1" name="year"/>
    <x:tableColumn id="2" name="cash_expenditure"/>
    <x:tableColumn id="3" name="capital"/>
    <x:tableColumn id="4" name="resource_net_saving_excluding_funding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Statebudget" displayName="T_Statebudget" ref="A4:D9" headerRowCount="1" totalsRowCount="0" totalsRowShown="0">
  <x:tableColumns count="4">
    <x:tableColumn id="1" name="year"/>
    <x:tableColumn id="2" name="cash_expenditure"/>
    <x:tableColumn id="3" name="capital"/>
    <x:tableColumn id="4" name="resource_net_saving_excluding_funding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Sites" displayName="T_Sites" ref="A4:K69" headerRowCount="1" totalsRowCount="0" totalsRowShown="0">
  <x:tableColumns count="11">
    <x:tableColumn id="1" name="name"/>
    <x:tableColumn id="2" name="births"/>
    <x:tableColumn id="3" name="year"/>
    <x:tableColumn id="4" name="group"/>
    <x:tableColumn id="5" name="geography"/>
    <x:tableColumn id="6" name="pilot"/>
    <x:tableColumn id="7" name="projected_calls"/>
    <x:tableColumn id="8" name="allocated_programme_cost"/>
    <x:tableColumn id="9" name="net_saving_before_shared_hub_cost"/>
    <x:tableColumn id="10" name="primary_spoke_portfolio"/>
    <x:tableColumn id="11" name="current_capability_verifie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Survivalfrontier" displayName="T_Survivalfrontier" ref="A4:I112" headerRowCount="1" totalsRowCount="0" totalsRowShown="0">
  <x:tableColumns count="9">
    <x:tableColumn id="1" name="survival_gain"/>
    <x:tableColumn id="2" name="major_share"/>
    <x:tableColumn id="3" name="discount"/>
    <x:tableColumn id="4" name="wtp"/>
    <x:tableColumn id="5" name="extra_survivors"/>
    <x:tableColumn id="6" name="major_morbidity_survivors"/>
    <x:tableColumn id="7" name="qalys"/>
    <x:tableColumn id="8" name="costs"/>
    <x:tableColumn id="9" name="total_nmb_including_acute_bas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Fundingsensitivity" displayName="T_Fundingsensitivity" ref="A4:G13" headerRowCount="1" totalsRowCount="0" totalsRowShown="0">
  <x:tableColumns count="7">
    <x:tableColumn id="1" name="nwau"/>
    <x:tableColumn id="2" name="assumed_qwau_per_nwau"/>
    <x:tableColumn id="3" name="nep"/>
    <x:tableColumn id="4" name="assumed_qep_to_nep_ratio"/>
    <x:tableColumn id="5" name="national_benchmark"/>
    <x:tableColumn id="6" name="hypothetical_queensland_benchmark"/>
    <x:tableColumn id="7" name="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Parameters" displayName="T_Parameters" ref="A4:E31" headerRowCount="1" totalsRowCount="0" totalsRowShown="0">
  <x:tableColumns count="5">
    <x:tableColumn id="1" name="parameter"/>
    <x:tableColumn id="2" name="base_value"/>
    <x:tableColumn id="3" name="source_ids"/>
    <x:tableColumn id="4" name="uncertainty"/>
    <x:tableColumn id="5" name="interpreta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Sources" displayName="T_Sources" ref="A4:F19" headerRowCount="1" totalsRowCount="0" totalsRowShown="0">
  <x:tableColumns count="6">
    <x:tableColumn id="1" name="source_id"/>
    <x:tableColumn id="2" name="publisher"/>
    <x:tableColumn id="3" name="title"/>
    <x:tableColumn id="4" name="data_year"/>
    <x:tableColumn id="5" name="url"/>
    <x:tableColumn id="6" name="limitation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Literature" displayName="T_Literature" ref="A4:I11" headerRowCount="1" totalsRowCount="0" totalsRowShown="0">
  <x:tableColumns count="9">
    <x:tableColumn id="1" name="study_id"/>
    <x:tableColumn id="2" name="pmid"/>
    <x:tableColumn id="3" name="study"/>
    <x:tableColumn id="4" name="design"/>
    <x:tableColumn id="5" name="quantitative_information"/>
    <x:tableColumn id="6" name="model_use"/>
    <x:tableColumn id="7" name="limitations"/>
    <x:tableColumn id="8" name="review_depth"/>
    <x:tableColumn id="9" name="url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Assurance" displayName="T_Assurance" ref="A4:D33" headerRowCount="1" totalsRowCount="0" totalsRowShown="0">
  <x:tableColumns count="4">
    <x:tableColumn id="1" name="Gate"/>
    <x:tableColumn id="2" name="Status"/>
    <x:tableColumn id="3" name="Exit code"/>
    <x:tableColumn id="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af00b4f8ab4c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477c3b969884e30" /><Relationship Type="http://schemas.openxmlformats.org/officeDocument/2006/relationships/table" Target="/xl/tables/table2.xml" Id="R0088c63848d549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bddcc1406a54d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45a259cc9047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154c502649347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05e1544d84040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a62b998cfee40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97d472d4c0640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909d3c73fb842c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0d84c73968d4d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23582cd6b8142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725283885ca42f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7d340d56a57483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fa328bb2dd149f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c64fd186f68489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ddfcea4531c47b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1288ee89e894fa5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30" customHeight="1">
      <x:c r="A1" s="3" t="str">
        <x:v>Readme | Panda Vision v4</x:v>
      </x:c>
      <x:c r="B1" s="3"/>
      <x:c r="C1" s="3"/>
      <x:c r="D1" s="3"/>
    </x:row>
    <x:row r="2" ht="45" customHeight="1">
      <x:c r="A2" s="7" t="str">
        <x:v>Read this before interpreting any figures.</x:v>
      </x:c>
      <x:c r="B2" s="7"/>
      <x:c r="C2" s="7"/>
      <x:c r="D2" s="7"/>
    </x:row>
    <x:row r="4" ht="34" customHeight="1">
      <x:c r="A4" s="12" t="str">
        <x:v>Item</x:v>
      </x:c>
      <x:c r="B4" s="12" t="str">
        <x:v>Meaning</x:v>
      </x:c>
    </x:row>
    <x:row r="5" ht="20" customHeight="1">
      <x:c r="A5" s="6" t="str">
        <x:v>Status</x:v>
      </x:c>
      <x:c r="B5" s="6" t="str">
        <x:v>Preliminary existing-evidence model; not observed CHHHS savings.</x:v>
      </x:c>
    </x:row>
    <x:row r="6" ht="20" customHeight="1">
      <x:c r="A6" s="6" t="str">
        <x:v>Scope</x:v>
      </x:c>
      <x:c r="B6" s="6" t="str">
        <x:v>Three-site pilot and historical Queensland public-site portfolios.</x:v>
      </x:c>
    </x:row>
    <x:row r="7" ht="20" customHeight="1">
      <x:c r="A7" s="6" t="str">
        <x:v>This workbook</x:v>
      </x:c>
      <x:c r="B7" s="6" t="str">
        <x:v>Inspectable output tables. PSA values are computed by Python, not recalculated by editing spreadsheet cells.</x:v>
      </x:c>
    </x:row>
    <x:row r="8" ht="20" customHeight="1">
      <x:c r="A8" s="6" t="str">
        <x:v>Reproduce</x:v>
      </x:c>
      <x:c r="B8" s="6" t="str">
        <x:v>python scripts/run_v2.py --out outputs/v4 --iterations 20000; python scripts/complete_analysis_v4.py</x:v>
      </x:c>
    </x:row>
    <x:row r="9" ht="20" customHeight="1">
      <x:c r="A9" s="6" t="str">
        <x:v>Inputs</x:v>
      </x:c>
      <x:c r="B9" s="6" t="str">
        <x:v>No clinical/economic parameter added or changed in engineering v4.</x:v>
      </x:c>
    </x:row>
    <x:row r="10" ht="20" customHeight="1">
      <x:c r="A10" s="6" t="str">
        <x:v>Units</x:v>
      </x:c>
      <x:c r="B10" s="6" t="str">
        <x:v>AUD; source-specific dates. Current episode pricing and marginal expenditure are different ledgers.</x:v>
      </x:c>
    </x:row>
    <x:row r="11" ht="20" customHeight="1">
      <x:c r="A11" s="6" t="str">
        <x:v>Unverified</x:v>
      </x:c>
      <x:c r="B11" s="6" t="str">
        <x:v>Installation invoice, local retrieval marginal cost, current QEP/local QWAU, current capability roster.</x:v>
      </x:c>
    </x:row>
    <x:row r="12" ht="20" customHeight="1">
      <x:c r="A12" s="6" t="str">
        <x:v>Assurance</x:v>
      </x:c>
      <x:c r="B12" s="6" t="str">
        <x:v>Local ordinary tests pass; full latest locked toolchain acceptance is incomplete.</x:v>
      </x:c>
    </x:row>
    <x:row r="13" ht="20" customHeight="1">
      <x:c r="A13" s="6" t="str">
        <x:v>Future use</x:v>
      </x:c>
      <x:c r="B13" s="6" t="str">
        <x:v>Use the supplied Python source and verified inputs for recalculation; original v2 interactive workbook is retained in repo.</x:v>
      </x:c>
    </x:row>
    <x:row r="14" ht="20" customHeight="1">
      <x:c r="A14" s="6" t="str">
        <x:v>DataFrames</x:v>
      </x:c>
      <x:c r="B14" s="6" t="str">
        <x:v>No pandas/xarray; artifact_tool authors this delivery workbook outside the numerical model environment.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caf00b4f8ab4c7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0" hidden="0" customWidth="1"/>
    <x:col min="3" max="3" width="26" hidden="0" customWidth="1"/>
    <x:col min="4" max="4" width="55" hidden="0" customWidth="1"/>
  </x:cols>
  <x:sheetData>
    <x:row r="1" ht="30" customHeight="1">
      <x:c r="A1" s="3" t="str">
        <x:v>Summary | Panda Vision v4</x:v>
      </x:c>
      <x:c r="B1" s="3"/>
      <x:c r="C1" s="3"/>
      <x:c r="D1" s="3"/>
    </x:row>
    <x:row r="2" ht="45" customHeight="1">
      <x:c r="A2" s="7" t="str">
        <x:v>Sources: unchanged data/parameters.json and outputs/v4/results_v2.json; positive net saving means lower valued resource use.</x:v>
      </x:c>
      <x:c r="B2" s="7"/>
      <x:c r="C2" s="7"/>
      <x:c r="D2" s="7"/>
    </x:row>
    <x:row r="4" ht="34" customHeight="1">
      <x:c r="A4" s="12" t="str">
        <x:v>Measure</x:v>
      </x:c>
      <x:c r="B4" s="12" t="str">
        <x:v>Pilot: 3 sites</x:v>
      </x:c>
      <x:c r="C4" s="12" t="str">
        <x:v>Illustrative 33-site network</x:v>
      </x:c>
      <x:c r="D4" s="12" t="str">
        <x:v>Interpretation</x:v>
      </x:c>
    </x:row>
    <x:row r="5" ht="20" customHeight="1">
      <x:c r="A5" s="6" t="str">
        <x:v>Forecast consultations</x:v>
      </x:c>
      <x:c r="B5" s="18" t="n">
        <x:v>37.5</x:v>
      </x:c>
      <x:c r="C5" s="18" t="n">
        <x:v>1114.5432098765434</x:v>
      </x:c>
      <x:c r="D5" s="6" t="str">
        <x:v>Conditional deterministic model, not observed savings</x:v>
      </x:c>
    </x:row>
    <x:row r="6" ht="20" customHeight="1">
      <x:c r="A6" s="6" t="str">
        <x:v>Annual economic programme cost</x:v>
      </x:c>
      <x:c r="B6" s="16" t="n">
        <x:v>14051.743943848045</x:v>
      </x:c>
      <x:c r="C6" s="16" t="n">
        <x:v>327222.4241230693</x:v>
      </x:c>
      <x:c r="D6" s="6" t="str">
        <x:v>Conditional deterministic model, not observed savings</x:v>
      </x:c>
    </x:row>
    <x:row r="7" ht="20" customHeight="1">
      <x:c r="A7" s="6" t="str">
        <x:v>Gross resource benefit</x:v>
      </x:c>
      <x:c r="B7" s="16" t="n">
        <x:v>18219.180993859398</x:v>
      </x:c>
      <x:c r="C7" s="16" t="n">
        <x:v>465134.9039668027</x:v>
      </x:c>
      <x:c r="D7" s="6" t="str">
        <x:v>Conditional deterministic model, not observed savings</x:v>
      </x:c>
    </x:row>
    <x:row r="8" ht="20" customHeight="1">
      <x:c r="A8" s="6" t="str">
        <x:v>Net resource saving (formula)</x:v>
      </x:c>
      <x:c r="B8" s="16" t="n">
        <x:f>B7-B6</x:f>
        <x:v>4167.437050011353</x:v>
      </x:c>
      <x:c r="C8" s="16" t="n">
        <x:f>C7-C6</x:f>
        <x:v>137912.47984373342</x:v>
      </x:c>
      <x:c r="D8" s="6" t="str">
        <x:v>Conditional deterministic model, not observed savings</x:v>
      </x:c>
    </x:row>
    <x:row r="9" ht="20" customHeight="1">
      <x:c r="A9" s="6" t="str">
        <x:v>Family-cost consequence</x:v>
      </x:c>
      <x:c r="B9" s="16" t="n">
        <x:v>3478.889919443309</x:v>
      </x:c>
      <x:c r="C9" s="16" t="n">
        <x:v>103396.61700329318</x:v>
      </x:c>
      <x:c r="D9" s="6" t="str">
        <x:v>Conditional deterministic model, not observed savings</x:v>
      </x:c>
    </x:row>
    <x:row r="10" ht="20" customHeight="1">
      <x:c r="A10" s="6" t="str">
        <x:v>Societal net saving (formula)</x:v>
      </x:c>
      <x:c r="B10" s="16" t="n">
        <x:f>B8+B9</x:f>
        <x:v>7646.326969454662</x:v>
      </x:c>
      <x:c r="C10" s="16" t="n">
        <x:f>C8+C9</x:f>
        <x:v>241309.0968470266</x:v>
      </x:c>
      <x:c r="D10" s="6" t="str">
        <x:v>Conditional deterministic model, not observed savings</x:v>
      </x:c>
    </x:row>
    <x:row r="11" ht="20" customHeight="1">
      <x:c r="A11" s="6" t="str">
        <x:v>Annual running cash cost</x:v>
      </x:c>
      <x:c r="B11" s="16" t="n">
        <x:v>7122.5</x:v>
      </x:c>
      <x:c r="C11" s="16" t="n">
        <x:v>251000.74074074073</x:v>
      </x:c>
      <x:c r="D11" s="6" t="str">
        <x:v>Conditional deterministic model, not observed savings</x:v>
      </x:c>
    </x:row>
    <x:row r="15">
      <x:c r="A15" t="str">
        <x:v>Effect structure</x:v>
      </x:c>
      <x:c r="B15" t="str">
        <x:v>Pilot probability</x:v>
      </x:c>
      <x:c r="C15" t="str">
        <x:v>State probability</x:v>
      </x:c>
    </x:row>
    <x:row r="16">
      <x:c r="A16" t="str">
        <x:v>Published</x:v>
      </x:c>
      <x:c r="B16" s="30" t="n">
        <x:v>0.6921</x:v>
      </x:c>
      <x:c r="C16" s="30" t="n">
        <x:v>0.72575</x:v>
      </x:c>
    </x:row>
    <x:row r="17">
      <x:c r="A17" t="str">
        <x:v>Attenuated</x:v>
      </x:c>
      <x:c r="B17" s="30" t="n">
        <x:v>0.46</x:v>
      </x:c>
      <x:c r="C17" s="30" t="n">
        <x:v>0.50665</x:v>
      </x:c>
    </x:row>
    <x:row r="18">
      <x:c r="A18" t="str">
        <x:v>Sceptical</x:v>
      </x:c>
      <x:c r="B18" s="30" t="n">
        <x:v>0.1652</x:v>
      </x:c>
      <x:c r="C18" s="30" t="n">
        <x:v>0.1983</x:v>
      </x:c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2477c3b969884e30"/>
  <x:tableParts count="1">
    <x:tablePart xmlns:r="http://schemas.openxmlformats.org/officeDocument/2006/relationships" r:id="R0088c63848d5493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3" hidden="0" customWidth="1"/>
    <x:col min="8" max="8" width="22" hidden="0" customWidth="1"/>
  </x:cols>
  <x:sheetData>
    <x:row r="1" ht="30" customHeight="1">
      <x:c r="A1" s="3" t="str">
        <x:v>PSA | Panda Vision v4</x:v>
      </x:c>
      <x:c r="B1" s="3"/>
      <x:c r="C1" s="3"/>
      <x:c r="D1" s="3"/>
      <x:c r="E1" s="3"/>
      <x:c r="F1" s="3"/>
      <x:c r="G1" s="3"/>
      <x:c r="H1" s="3"/>
    </x:row>
    <x:row r="2" ht="45" customHeight="1">
      <x:c r="A2" s="7" t="str">
        <x:v>Analyst-prior uncertainty, not an empirical posterior. Do not confuse Monte Carlo error with clinical uncertainty.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2" t="str">
        <x:v>Structure</x:v>
      </x:c>
      <x:c r="B4" s="12" t="str">
        <x:v>Draws</x:v>
      </x:c>
      <x:c r="C4" s="12" t="str">
        <x:v>Mean net saving</x:v>
      </x:c>
      <x:c r="D4" s="12" t="str">
        <x:v>Median</x:v>
      </x:c>
      <x:c r="E4" s="12" t="str">
        <x:v>2.5th percentile</x:v>
      </x:c>
      <x:c r="F4" s="12" t="str">
        <x:v>97.5th percentile</x:v>
      </x:c>
      <x:c r="G4" s="12" t="str">
        <x:v>Probability cost saving</x:v>
      </x:c>
      <x:c r="H4" s="12" t="str">
        <x:v>Monte Carlo SE</x:v>
      </x:c>
    </x:row>
    <x:row r="5" ht="20" customHeight="1">
      <x:c r="A5" s="6" t="str">
        <x:v>pilot_attenuated</x:v>
      </x:c>
      <x:c r="B5" s="6" t="n">
        <x:v>20000</x:v>
      </x:c>
      <x:c r="C5" s="20" t="n">
        <x:v>2427.8775201977214</x:v>
      </x:c>
      <x:c r="D5" s="20" t="n">
        <x:v>-2194.1815250149766</x:v>
      </x:c>
      <x:c r="E5" s="20" t="n">
        <x:v>-41147.577109063444</x:v>
      </x:c>
      <x:c r="F5" s="20" t="n">
        <x:v>65642.17375501068</x:v>
      </x:c>
      <x:c r="G5" s="22" t="n">
        <x:v>0.46</x:v>
      </x:c>
      <x:c r="H5" s="22" t="n">
        <x:v>0.0035242020373412192</x:v>
      </x:c>
    </x:row>
    <x:row r="6" ht="20" customHeight="1">
      <x:c r="A6" s="6" t="str">
        <x:v>pilot_null</x:v>
      </x:c>
      <x:c r="B6" s="6" t="n">
        <x:v>20000</x:v>
      </x:c>
      <x:c r="C6" s="20" t="n">
        <x:v>-16516.444559194137</x:v>
      </x:c>
      <x:c r="D6" s="20" t="n">
        <x:v>-16403.481497810997</x:v>
      </x:c>
      <x:c r="E6" s="20" t="n">
        <x:v>-21453.370735537956</x:v>
      </x:c>
      <x:c r="F6" s="20" t="n">
        <x:v>-12135.889509216424</x:v>
      </x:c>
      <x:c r="G6" s="22" t="n">
        <x:v>0</x:v>
      </x:c>
      <x:c r="H6" s="22" t="n">
        <x:v>0</x:v>
      </x:c>
    </x:row>
    <x:row r="7" ht="20" customHeight="1">
      <x:c r="A7" s="6" t="str">
        <x:v>pilot_published</x:v>
      </x:c>
      <x:c r="B7" s="6" t="n">
        <x:v>20000</x:v>
      </x:c>
      <x:c r="C7" s="20" t="n">
        <x:v>20655.575809083773</x:v>
      </x:c>
      <x:c r="D7" s="20" t="n">
        <x:v>13892.662743689012</x:v>
      </x:c>
      <x:c r="E7" s="20" t="n">
        <x:v>-28908.62164025232</x:v>
      </x:c>
      <x:c r="F7" s="20" t="n">
        <x:v>106248.37858433569</x:v>
      </x:c>
      <x:c r="G7" s="22" t="n">
        <x:v>0.6921</x:v>
      </x:c>
      <x:c r="H7" s="22" t="n">
        <x:v>0.0032641812909212013</x:v>
      </x:c>
    </x:row>
    <x:row r="8" ht="20" customHeight="1">
      <x:c r="A8" s="6" t="str">
        <x:v>pilot_skeptical</x:v>
      </x:c>
      <x:c r="B8" s="6" t="n">
        <x:v>20000</x:v>
      </x:c>
      <x:c r="C8" s="20" t="n">
        <x:v>-17329.3832993638</x:v>
      </x:c>
      <x:c r="D8" s="20" t="n">
        <x:v>-16613.769058705457</x:v>
      </x:c>
      <x:c r="E8" s="20" t="n">
        <x:v>-66931.99188571493</x:v>
      </x:c>
      <x:c r="F8" s="20" t="n">
        <x:v>29407.30441964634</x:v>
      </x:c>
      <x:c r="G8" s="22" t="n">
        <x:v>0.1652</x:v>
      </x:c>
      <x:c r="H8" s="22" t="n">
        <x:v>0.0026259185059708157</x:v>
      </x:c>
    </x:row>
    <x:row r="9" ht="20" customHeight="1">
      <x:c r="A9" s="6" t="str">
        <x:v>spokes_attenuated</x:v>
      </x:c>
      <x:c r="B9" s="6" t="n">
        <x:v>20000</x:v>
      </x:c>
      <x:c r="C9" s="20" t="n">
        <x:v>135429.07893048142</x:v>
      </x:c>
      <x:c r="D9" s="20" t="n">
        <x:v>9691.55582987782</x:v>
      </x:c>
      <x:c r="E9" s="20" t="n">
        <x:v>-1011528.721381418</x:v>
      </x:c>
      <x:c r="F9" s="20" t="n">
        <x:v>1808652.4649993181</x:v>
      </x:c>
      <x:c r="G9" s="22" t="n">
        <x:v>0.50665</x:v>
      </x:c>
      <x:c r="H9" s="22" t="n">
        <x:v>0.0035352211918068155</x:v>
      </x:c>
    </x:row>
    <x:row r="10" ht="20" customHeight="1">
      <x:c r="A10" s="6" t="str">
        <x:v>spokes_null</x:v>
      </x:c>
      <x:c r="B10" s="6" t="n">
        <x:v>20000</x:v>
      </x:c>
      <x:c r="C10" s="20" t="n">
        <x:v>-354423.93637342023</x:v>
      </x:c>
      <x:c r="D10" s="20" t="n">
        <x:v>-352993.01583097456</x:v>
      </x:c>
      <x:c r="E10" s="20" t="n">
        <x:v>-454679.9600579764</x:v>
      </x:c>
      <x:c r="F10" s="20" t="n">
        <x:v>-263278.4135892585</x:v>
      </x:c>
      <x:c r="G10" s="22" t="n">
        <x:v>0</x:v>
      </x:c>
      <x:c r="H10" s="22" t="n">
        <x:v>0</x:v>
      </x:c>
    </x:row>
    <x:row r="11" ht="20" customHeight="1">
      <x:c r="A11" s="6" t="str">
        <x:v>spokes_published</x:v>
      </x:c>
      <x:c r="B11" s="6" t="n">
        <x:v>20000</x:v>
      </x:c>
      <x:c r="C11" s="20" t="n">
        <x:v>608247.4272065317</x:v>
      </x:c>
      <x:c r="D11" s="20" t="n">
        <x:v>425171.4224975549</x:v>
      </x:c>
      <x:c r="E11" s="20" t="n">
        <x:v>-699087.9376121834</x:v>
      </x:c>
      <x:c r="F11" s="20" t="n">
        <x:v>2890442.4690662413</x:v>
      </x:c>
      <x:c r="G11" s="22" t="n">
        <x:v>0.72575</x:v>
      </x:c>
      <x:c r="H11" s="22" t="n">
        <x:v>0.0031546547949022887</x:v>
      </x:c>
    </x:row>
    <x:row r="12" ht="20" customHeight="1">
      <x:c r="A12" s="6" t="str">
        <x:v>spokes_skeptical</x:v>
      </x:c>
      <x:c r="B12" s="6" t="n">
        <x:v>20000</x:v>
      </x:c>
      <x:c r="C12" s="20" t="n">
        <x:v>-378442.2854310029</x:v>
      </x:c>
      <x:c r="D12" s="20" t="n">
        <x:v>-357881.4613387465</x:v>
      </x:c>
      <x:c r="E12" s="20" t="n">
        <x:v>-1695311.1411946504</x:v>
      </x:c>
      <x:c r="F12" s="20" t="n">
        <x:v>839701.990702089</x:v>
      </x:c>
      <x:c r="G12" s="22" t="n">
        <x:v>0.1983</x:v>
      </x:c>
      <x:c r="H12" s="22" t="n">
        <x:v>0.0028193714725094315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bddcc1406a54de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0" customHeight="1">
      <x:c r="A1" s="3" t="str">
        <x:v>Scenarios | Panda Vision v4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45" customHeight="1">
      <x:c r="A2" s="7" t="str">
        <x:v>58 primary deterministic comparisons; existing model assumptions varied.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4" customHeight="1">
      <x:c r="A4" s="12" t="str">
        <x:v>portfolio</x:v>
      </x:c>
      <x:c r="B4" s="12" t="str">
        <x:v>scenario</x:v>
      </x:c>
      <x:c r="C4" s="12" t="str">
        <x:v>consultations</x:v>
      </x:c>
      <x:c r="D4" s="12" t="str">
        <x:v>avoided_transfers</x:v>
      </x:c>
      <x:c r="E4" s="12" t="str">
        <x:v>programme_cost</x:v>
      </x:c>
      <x:c r="F4" s="12" t="str">
        <x:v>gross_resource_benefit</x:v>
      </x:c>
      <x:c r="G4" s="12" t="str">
        <x:v>family_benefit</x:v>
      </x:c>
      <x:c r="H4" s="12" t="str">
        <x:v>cash_running_cost</x:v>
      </x:c>
      <x:c r="I4" s="12" t="str">
        <x:v>net_saving</x:v>
      </x:c>
      <x:c r="J4" s="12" t="str">
        <x:v>societal_net_saving</x:v>
      </x:c>
      <x:c r="K4" s="12" t="str">
        <x:v>site_count</x:v>
      </x:c>
      <x:c r="L4" s="12" t="str">
        <x:v>births_2022</x:v>
      </x:c>
      <x:c r="M4" s="12" t="str">
        <x:v>interpretation</x:v>
      </x:c>
    </x:row>
    <x:row r="5" ht="20" customHeight="1">
      <x:c r="A5" s="6" t="str">
        <x:v>pilot</x:v>
      </x:c>
      <x:c r="B5" s="6" t="str">
        <x:v>Base attenuated effect</x:v>
      </x:c>
      <x:c r="C5" s="6" t="n">
        <x:v>37.5</x:v>
      </x:c>
      <x:c r="D5" s="6" t="n">
        <x:v>2.319259946295539</x:v>
      </x:c>
      <x:c r="E5" s="24" t="n">
        <x:v>14051.743943848045</x:v>
      </x:c>
      <x:c r="F5" s="24" t="n">
        <x:v>18219.180993859398</x:v>
      </x:c>
      <x:c r="G5" s="24" t="n">
        <x:v>3478.889919443309</x:v>
      </x:c>
      <x:c r="H5" s="24" t="n">
        <x:v>7122.5</x:v>
      </x:c>
      <x:c r="I5" s="24" t="n">
        <x:v>4167.437050011353</x:v>
      </x:c>
      <x:c r="J5" s="24" t="n">
        <x:v>7646.326969454662</x:v>
      </x:c>
      <x:c r="K5" s="6" t="n">
        <x:v>3</x:v>
      </x:c>
      <x:c r="L5" s="6" t="n">
        <x:v>486</x:v>
      </x:c>
      <x:c r="M5" s="6" t="str">
        <x:v>conditional scenario, not observed savings</x:v>
      </x:c>
    </x:row>
    <x:row r="6" ht="20" customHeight="1">
      <x:c r="A6" s="6" t="str">
        <x:v>pilot</x:v>
      </x:c>
      <x:c r="B6" s="6" t="str">
        <x:v>No incremental video effect</x:v>
      </x:c>
      <x:c r="C6" s="6" t="n">
        <x:v>37.5</x:v>
      </x:c>
      <x:c r="D6" s="6" t="n">
        <x:v>0</x:v>
      </x:c>
      <x:c r="E6" s="24" t="n">
        <x:v>14051.743943848045</x:v>
      </x:c>
      <x:c r="F6" s="24" t="n">
        <x:v>0</x:v>
      </x:c>
      <x:c r="G6" s="24" t="n">
        <x:v>0</x:v>
      </x:c>
      <x:c r="H6" s="24" t="n">
        <x:v>7122.5</x:v>
      </x:c>
      <x:c r="I6" s="24" t="n">
        <x:v>-14051.743943848045</x:v>
      </x:c>
      <x:c r="J6" s="24" t="n">
        <x:v>-14051.743943848045</x:v>
      </x:c>
      <x:c r="K6" s="6" t="n">
        <x:v>3</x:v>
      </x:c>
      <x:c r="L6" s="6" t="n">
        <x:v>486</x:v>
      </x:c>
      <x:c r="M6" s="6" t="str">
        <x:v>conditional scenario, not observed savings</x:v>
      </x:c>
    </x:row>
    <x:row r="7" ht="20" customHeight="1">
      <x:c r="A7" s="6" t="str">
        <x:v>pilot</x:v>
      </x:c>
      <x:c r="B7" s="6" t="str">
        <x:v>Published OR without attenuation</x:v>
      </x:c>
      <x:c r="C7" s="6" t="n">
        <x:v>37.5</x:v>
      </x:c>
      <x:c r="D7" s="6" t="n">
        <x:v>4.5565469647127035</x:v>
      </x:c>
      <x:c r="E7" s="24" t="n">
        <x:v>14051.743943848045</x:v>
      </x:c>
      <x:c r="F7" s="24" t="n">
        <x:v>35794.415365004876</x:v>
      </x:c>
      <x:c r="G7" s="24" t="n">
        <x:v>6834.820447069054</x:v>
      </x:c>
      <x:c r="H7" s="24" t="n">
        <x:v>7122.5</x:v>
      </x:c>
      <x:c r="I7" s="24" t="n">
        <x:v>21742.671421156832</x:v>
      </x:c>
      <x:c r="J7" s="24" t="n">
        <x:v>28577.491868225887</x:v>
      </x:c>
      <x:c r="K7" s="6" t="n">
        <x:v>3</x:v>
      </x:c>
      <x:c r="L7" s="6" t="n">
        <x:v>486</x:v>
      </x:c>
      <x:c r="M7" s="6" t="str">
        <x:v>conditional scenario, not observed savings</x:v>
      </x:c>
    </x:row>
    <x:row r="8" ht="20" customHeight="1">
      <x:c r="A8" s="6" t="str">
        <x:v>pilot</x:v>
      </x:c>
      <x:c r="B8" s="6" t="str">
        <x:v>Increased transfers OR1.1</x:v>
      </x:c>
      <x:c r="C8" s="6" t="n">
        <x:v>37.5</x:v>
      </x:c>
      <x:c r="D8" s="6" t="n">
        <x:v>-0.6347189935730915</x:v>
      </x:c>
      <x:c r="E8" s="24" t="n">
        <x:v>14051.743943848045</x:v>
      </x:c>
      <x:c r="F8" s="24" t="n">
        <x:v>-5320.1618546410955</x:v>
      </x:c>
      <x:c r="G8" s="24" t="n">
        <x:v>-952.0784903596373</x:v>
      </x:c>
      <x:c r="H8" s="24" t="n">
        <x:v>7122.5</x:v>
      </x:c>
      <x:c r="I8" s="24" t="n">
        <x:v>-19371.90579848914</x:v>
      </x:c>
      <x:c r="J8" s="24" t="n">
        <x:v>-20323.984288848776</x:v>
      </x:c>
      <x:c r="K8" s="6" t="n">
        <x:v>3</x:v>
      </x:c>
      <x:c r="L8" s="6" t="n">
        <x:v>486</x:v>
      </x:c>
      <x:c r="M8" s="6" t="str">
        <x:v>conditional scenario, not observed savings</x:v>
      </x:c>
    </x:row>
    <x:row r="9" ht="20" customHeight="1">
      <x:c r="A9" s="6" t="str">
        <x:v>pilot</x:v>
      </x:c>
      <x:c r="B9" s="6" t="str">
        <x:v>Full allocated retrieval value</x:v>
      </x:c>
      <x:c r="C9" s="6" t="n">
        <x:v>37.5</x:v>
      </x:c>
      <x:c r="D9" s="6" t="n">
        <x:v>2.319259946295539</x:v>
      </x:c>
      <x:c r="E9" s="24" t="n">
        <x:v>14051.743943848045</x:v>
      </x:c>
      <x:c r="F9" s="24" t="n">
        <x:v>33020.50522475696</x:v>
      </x:c>
      <x:c r="G9" s="24" t="n">
        <x:v>3478.889919443309</x:v>
      </x:c>
      <x:c r="H9" s="24" t="n">
        <x:v>7122.5</x:v>
      </x:c>
      <x:c r="I9" s="24" t="n">
        <x:v>18968.76128090892</x:v>
      </x:c>
      <x:c r="J9" s="24" t="n">
        <x:v>22447.65120035223</x:v>
      </x:c>
      <x:c r="K9" s="6" t="n">
        <x:v>3</x:v>
      </x:c>
      <x:c r="L9" s="6" t="n">
        <x:v>486</x:v>
      </x:c>
      <x:c r="M9" s="6" t="str">
        <x:v>conditional scenario, not observed savings</x:v>
      </x:c>
    </x:row>
    <x:row r="10" ht="20" customHeight="1">
      <x:c r="A10" s="6" t="str">
        <x:v>pilot</x:v>
      </x:c>
      <x:c r="B10" s="6" t="str">
        <x:v>25% avoidable retrieval resources</x:v>
      </x:c>
      <x:c r="C10" s="6" t="n">
        <x:v>37.5</x:v>
      </x:c>
      <x:c r="D10" s="6" t="n">
        <x:v>2.319259946295539</x:v>
      </x:c>
      <x:c r="E10" s="24" t="n">
        <x:v>14051.743943848045</x:v>
      </x:c>
      <x:c r="F10" s="24" t="n">
        <x:v>10818.518878410621</x:v>
      </x:c>
      <x:c r="G10" s="24" t="n">
        <x:v>3478.889919443309</x:v>
      </x:c>
      <x:c r="H10" s="24" t="n">
        <x:v>7122.5</x:v>
      </x:c>
      <x:c r="I10" s="24" t="n">
        <x:v>-3233.225065437424</x:v>
      </x:c>
      <x:c r="J10" s="24" t="n">
        <x:v>245.664854005885</x:v>
      </x:c>
      <x:c r="K10" s="6" t="n">
        <x:v>3</x:v>
      </x:c>
      <x:c r="L10" s="6" t="n">
        <x:v>486</x:v>
      </x:c>
      <x:c r="M10" s="6" t="str">
        <x:v>conditional scenario, not observed savings</x:v>
      </x:c>
    </x:row>
    <x:row r="11" ht="20" customHeight="1">
      <x:c r="A11" s="6" t="str">
        <x:v>pilot</x:v>
      </x:c>
      <x:c r="B11" s="6" t="str">
        <x:v>No downstream hospital savings</x:v>
      </x:c>
      <x:c r="C11" s="6" t="n">
        <x:v>37.5</x:v>
      </x:c>
      <x:c r="D11" s="6" t="n">
        <x:v>2.319259946295539</x:v>
      </x:c>
      <x:c r="E11" s="24" t="n">
        <x:v>14051.743943848045</x:v>
      </x:c>
      <x:c r="F11" s="24" t="n">
        <x:v>13580.661101268322</x:v>
      </x:c>
      <x:c r="G11" s="24" t="n">
        <x:v>3478.889919443309</x:v>
      </x:c>
      <x:c r="H11" s="24" t="n">
        <x:v>7122.5</x:v>
      </x:c>
      <x:c r="I11" s="24" t="n">
        <x:v>-471.08284257972264</x:v>
      </x:c>
      <x:c r="J11" s="24" t="n">
        <x:v>3007.807076863586</x:v>
      </x:c>
      <x:c r="K11" s="6" t="n">
        <x:v>3</x:v>
      </x:c>
      <x:c r="L11" s="6" t="n">
        <x:v>486</x:v>
      </x:c>
      <x:c r="M11" s="6" t="str">
        <x:v>conditional scenario, not observed savings</x:v>
      </x:c>
    </x:row>
    <x:row r="12" ht="20" customHeight="1">
      <x:c r="A12" s="6" t="str">
        <x:v>pilot</x:v>
      </x:c>
      <x:c r="B12" s="6" t="str">
        <x:v>More local hospital cost</x:v>
      </x:c>
      <x:c r="C12" s="6" t="n">
        <x:v>37.5</x:v>
      </x:c>
      <x:c r="D12" s="6" t="n">
        <x:v>2.319259946295539</x:v>
      </x:c>
      <x:c r="E12" s="24" t="n">
        <x:v>14051.743943848045</x:v>
      </x:c>
      <x:c r="F12" s="24" t="n">
        <x:v>4303.621316086169</x:v>
      </x:c>
      <x:c r="G12" s="24" t="n">
        <x:v>3478.889919443309</x:v>
      </x:c>
      <x:c r="H12" s="24" t="n">
        <x:v>7122.5</x:v>
      </x:c>
      <x:c r="I12" s="24" t="n">
        <x:v>-9748.122627761877</x:v>
      </x:c>
      <x:c r="J12" s="24" t="n">
        <x:v>-6269.232708318568</x:v>
      </x:c>
      <x:c r="K12" s="6" t="n">
        <x:v>3</x:v>
      </x:c>
      <x:c r="L12" s="6" t="n">
        <x:v>486</x:v>
      </x:c>
      <x:c r="M12" s="6" t="str">
        <x:v>conditional scenario, not observed savings</x:v>
      </x:c>
    </x:row>
    <x:row r="13" ht="20" customHeight="1">
      <x:c r="A13" s="6" t="str">
        <x:v>pilot</x:v>
      </x:c>
      <x:c r="B13" s="6" t="str">
        <x:v>Continuation: exclude sunk equipment</x:v>
      </x:c>
      <x:c r="C13" s="6" t="n">
        <x:v>37.5</x:v>
      </x:c>
      <x:c r="D13" s="6" t="n">
        <x:v>2.319259946295539</x:v>
      </x:c>
      <x:c r="E13" s="24" t="n">
        <x:v>7122.5</x:v>
      </x:c>
      <x:c r="F13" s="24" t="n">
        <x:v>18219.180993859398</x:v>
      </x:c>
      <x:c r="G13" s="24" t="n">
        <x:v>3478.889919443309</x:v>
      </x:c>
      <x:c r="H13" s="24" t="n">
        <x:v>7122.5</x:v>
      </x:c>
      <x:c r="I13" s="24" t="n">
        <x:v>11096.680993859398</x:v>
      </x:c>
      <x:c r="J13" s="24" t="n">
        <x:v>14575.570913302707</x:v>
      </x:c>
      <x:c r="K13" s="6" t="n">
        <x:v>3</x:v>
      </x:c>
      <x:c r="L13" s="6" t="n">
        <x:v>486</x:v>
      </x:c>
      <x:c r="M13" s="6" t="str">
        <x:v>conditional scenario, not observed savings</x:v>
      </x:c>
    </x:row>
    <x:row r="14" ht="20" customHeight="1">
      <x:c r="A14" s="6" t="str">
        <x:v>pilot</x:v>
      </x:c>
      <x:c r="B14" s="6" t="str">
        <x:v>Tablet component estimate4500</x:v>
      </x:c>
      <x:c r="C14" s="6" t="n">
        <x:v>37.5</x:v>
      </x:c>
      <x:c r="D14" s="6" t="n">
        <x:v>2.319259946295539</x:v>
      </x:c>
      <x:c r="E14" s="24" t="n">
        <x:v>10240.65977473162</x:v>
      </x:c>
      <x:c r="F14" s="24" t="n">
        <x:v>18219.180993859398</x:v>
      </x:c>
      <x:c r="G14" s="24" t="n">
        <x:v>3478.889919443309</x:v>
      </x:c>
      <x:c r="H14" s="24" t="n">
        <x:v>7122.5</x:v>
      </x:c>
      <x:c r="I14" s="24" t="n">
        <x:v>7978.521219127779</x:v>
      </x:c>
      <x:c r="J14" s="24" t="n">
        <x:v>11457.411138571088</x:v>
      </x:c>
      <x:c r="K14" s="6" t="n">
        <x:v>3</x:v>
      </x:c>
      <x:c r="L14" s="6" t="n">
        <x:v>486</x:v>
      </x:c>
      <x:c r="M14" s="6" t="str">
        <x:v>conditional scenario, not observed savings</x:v>
      </x:c>
    </x:row>
    <x:row r="15" ht="20" customHeight="1">
      <x:c r="A15" s="6" t="str">
        <x:v>pilot</x:v>
      </x:c>
      <x:c r="B15" s="6" t="str">
        <x:v>Commercial cart45000</x:v>
      </x:c>
      <x:c r="C15" s="6" t="n">
        <x:v>37.5</x:v>
      </x:c>
      <x:c r="D15" s="6" t="n">
        <x:v>2.319259946295539</x:v>
      </x:c>
      <x:c r="E15" s="24" t="n">
        <x:v>38304.0977473162</x:v>
      </x:c>
      <x:c r="F15" s="24" t="n">
        <x:v>18219.180993859398</x:v>
      </x:c>
      <x:c r="G15" s="24" t="n">
        <x:v>3478.889919443309</x:v>
      </x:c>
      <x:c r="H15" s="24" t="n">
        <x:v>7122.5</x:v>
      </x:c>
      <x:c r="I15" s="24" t="n">
        <x:v>-20084.9167534568</x:v>
      </x:c>
      <x:c r="J15" s="24" t="n">
        <x:v>-16606.026834013493</x:v>
      </x:c>
      <x:c r="K15" s="6" t="n">
        <x:v>3</x:v>
      </x:c>
      <x:c r="L15" s="6" t="n">
        <x:v>486</x:v>
      </x:c>
      <x:c r="M15" s="6" t="str">
        <x:v>conditional scenario, not observed savings</x:v>
      </x:c>
    </x:row>
    <x:row r="16" ht="20" customHeight="1">
      <x:c r="A16" s="6" t="str">
        <x:v>pilot</x:v>
      </x:c>
      <x:c r="B16" s="6" t="str">
        <x:v>10calls/pilot site</x:v>
      </x:c>
      <x:c r="C16" s="6" t="n">
        <x:v>30</x:v>
      </x:c>
      <x:c r="D16" s="6" t="n">
        <x:v>1.855407957036431</x:v>
      </x:c>
      <x:c r="E16" s="24" t="n">
        <x:v>13489.243943848045</x:v>
      </x:c>
      <x:c r="F16" s="24" t="n">
        <x:v>14575.344795087516</x:v>
      </x:c>
      <x:c r="G16" s="24" t="n">
        <x:v>2783.111935554646</x:v>
      </x:c>
      <x:c r="H16" s="24" t="n">
        <x:v>6560</x:v>
      </x:c>
      <x:c r="I16" s="24" t="n">
        <x:v>1086.100851239471</x:v>
      </x:c>
      <x:c r="J16" s="24" t="n">
        <x:v>3869.212786794117</x:v>
      </x:c>
      <x:c r="K16" s="6" t="n">
        <x:v>3</x:v>
      </x:c>
      <x:c r="L16" s="6" t="n">
        <x:v>486</x:v>
      </x:c>
      <x:c r="M16" s="6" t="str">
        <x:v>conditional scenario, not observed savings</x:v>
      </x:c>
    </x:row>
    <x:row r="17" ht="20" customHeight="1">
      <x:c r="A17" s="6" t="str">
        <x:v>pilot</x:v>
      </x:c>
      <x:c r="B17" s="6" t="str">
        <x:v>15calls/pilot site</x:v>
      </x:c>
      <x:c r="C17" s="6" t="n">
        <x:v>45</x:v>
      </x:c>
      <x:c r="D17" s="6" t="n">
        <x:v>2.783111935554646</x:v>
      </x:c>
      <x:c r="E17" s="24" t="n">
        <x:v>14614.243943848045</x:v>
      </x:c>
      <x:c r="F17" s="24" t="n">
        <x:v>21863.017192631276</x:v>
      </x:c>
      <x:c r="G17" s="24" t="n">
        <x:v>4174.667903331969</x:v>
      </x:c>
      <x:c r="H17" s="24" t="n">
        <x:v>7685</x:v>
      </x:c>
      <x:c r="I17" s="24" t="n">
        <x:v>7248.773248783231</x:v>
      </x:c>
      <x:c r="J17" s="24" t="n">
        <x:v>11423.4411521152</x:v>
      </x:c>
      <x:c r="K17" s="6" t="n">
        <x:v>3</x:v>
      </x:c>
      <x:c r="L17" s="6" t="n">
        <x:v>486</x:v>
      </x:c>
      <x:c r="M17" s="6" t="str">
        <x:v>conditional scenario, not observed savings</x:v>
      </x:c>
    </x:row>
    <x:row r="18" ht="20" customHeight="1">
      <x:c r="A18" s="6" t="str">
        <x:v>pilot</x:v>
      </x:c>
      <x:c r="B18" s="6" t="str">
        <x:v>Technical reliability70%</x:v>
      </x:c>
      <x:c r="C18" s="6" t="n">
        <x:v>37.5</x:v>
      </x:c>
      <x:c r="D18" s="6" t="n">
        <x:v>1.7089283814809235</x:v>
      </x:c>
      <x:c r="E18" s="24" t="n">
        <x:v>14051.743943848045</x:v>
      </x:c>
      <x:c r="F18" s="24" t="n">
        <x:v>13424.659679685876</x:v>
      </x:c>
      <x:c r="G18" s="24" t="n">
        <x:v>2563.3925722213853</x:v>
      </x:c>
      <x:c r="H18" s="24" t="n">
        <x:v>7122.5</x:v>
      </x:c>
      <x:c r="I18" s="24" t="n">
        <x:v>-627.0842641621693</x:v>
      </x:c>
      <x:c r="J18" s="24" t="n">
        <x:v>1936.308308059216</x:v>
      </x:c>
      <x:c r="K18" s="6" t="n">
        <x:v>3</x:v>
      </x:c>
      <x:c r="L18" s="6" t="n">
        <x:v>486</x:v>
      </x:c>
      <x:c r="M18" s="6" t="str">
        <x:v>conditional scenario, not observed savings</x:v>
      </x:c>
    </x:row>
    <x:row r="19" ht="20" customHeight="1">
      <x:c r="A19" s="6" t="str">
        <x:v>pilot</x:v>
      </x:c>
      <x:c r="B19" s="6" t="str">
        <x:v>Delayed rescue20%</x:v>
      </x:c>
      <x:c r="C19" s="6" t="n">
        <x:v>37.5</x:v>
      </x:c>
      <x:c r="D19" s="6" t="n">
        <x:v>1.9530610074067694</x:v>
      </x:c>
      <x:c r="E19" s="24" t="n">
        <x:v>14051.743943848045</x:v>
      </x:c>
      <x:c r="F19" s="24" t="n">
        <x:v>11487.742532841921</x:v>
      </x:c>
      <x:c r="G19" s="24" t="n">
        <x:v>2929.591511110154</x:v>
      </x:c>
      <x:c r="H19" s="24" t="n">
        <x:v>7122.5</x:v>
      </x:c>
      <x:c r="I19" s="24" t="n">
        <x:v>-2564.001411006124</x:v>
      </x:c>
      <x:c r="J19" s="24" t="n">
        <x:v>365.59010010403017</x:v>
      </x:c>
      <x:c r="K19" s="6" t="n">
        <x:v>3</x:v>
      </x:c>
      <x:c r="L19" s="6" t="n">
        <x:v>486</x:v>
      </x:c>
      <x:c r="M19" s="6" t="str">
        <x:v>conditional scenario, not observed savings</x:v>
      </x:c>
    </x:row>
    <x:row r="20" ht="20" customHeight="1">
      <x:c r="A20" s="6" t="str">
        <x:v>pilot</x:v>
      </x:c>
      <x:c r="B20" s="6" t="str">
        <x:v>Air-heavy geography</x:v>
      </x:c>
      <x:c r="C20" s="6" t="n">
        <x:v>37.5</x:v>
      </x:c>
      <x:c r="D20" s="6" t="n">
        <x:v>2.319259946295539</x:v>
      </x:c>
      <x:c r="E20" s="24" t="n">
        <x:v>14051.743943848045</x:v>
      </x:c>
      <x:c r="F20" s="24" t="n">
        <x:v>24570.933705300948</x:v>
      </x:c>
      <x:c r="G20" s="24" t="n">
        <x:v>3478.889919443309</x:v>
      </x:c>
      <x:c r="H20" s="24" t="n">
        <x:v>7122.5</x:v>
      </x:c>
      <x:c r="I20" s="24" t="n">
        <x:v>10519.189761452903</x:v>
      </x:c>
      <x:c r="J20" s="24" t="n">
        <x:v>13998.079680896211</x:v>
      </x:c>
      <x:c r="K20" s="6" t="n">
        <x:v>3</x:v>
      </x:c>
      <x:c r="L20" s="6" t="n">
        <x:v>486</x:v>
      </x:c>
      <x:c r="M20" s="6" t="str">
        <x:v>conditional scenario, not observed savings</x:v>
      </x:c>
    </x:row>
    <x:row r="21" ht="20" customHeight="1">
      <x:c r="A21" s="6" t="str">
        <x:v>pilot</x:v>
      </x:c>
      <x:c r="B21" s="6" t="str">
        <x:v>Road-heavy geography</x:v>
      </x:c>
      <x:c r="C21" s="6" t="n">
        <x:v>37.5</x:v>
      </x:c>
      <x:c r="D21" s="6" t="n">
        <x:v>2.319259946295539</x:v>
      </x:c>
      <x:c r="E21" s="24" t="n">
        <x:v>14051.743943848045</x:v>
      </x:c>
      <x:c r="F21" s="24" t="n">
        <x:v>11867.428282417855</x:v>
      </x:c>
      <x:c r="G21" s="24" t="n">
        <x:v>3478.889919443309</x:v>
      </x:c>
      <x:c r="H21" s="24" t="n">
        <x:v>7122.5</x:v>
      </x:c>
      <x:c r="I21" s="24" t="n">
        <x:v>-2184.3156614301897</x:v>
      </x:c>
      <x:c r="J21" s="24" t="n">
        <x:v>1294.574258013119</x:v>
      </x:c>
      <x:c r="K21" s="6" t="n">
        <x:v>3</x:v>
      </x:c>
      <x:c r="L21" s="6" t="n">
        <x:v>486</x:v>
      </x:c>
      <x:c r="M21" s="6" t="str">
        <x:v>conditional scenario, not observed savings</x:v>
      </x:c>
    </x:row>
    <x:row r="22" ht="20" customHeight="1">
      <x:c r="A22" s="6" t="str">
        <x:v>pilot</x:v>
      </x:c>
      <x:c r="B22" s="6" t="str">
        <x:v>Critical casemix50%</x:v>
      </x:c>
      <x:c r="C22" s="6" t="n">
        <x:v>37.5</x:v>
      </x:c>
      <x:c r="D22" s="6" t="n">
        <x:v>1.3675080199162528</x:v>
      </x:c>
      <x:c r="E22" s="24" t="n">
        <x:v>14051.743943848045</x:v>
      </x:c>
      <x:c r="F22" s="24" t="n">
        <x:v>10742.597510556774</x:v>
      </x:c>
      <x:c r="G22" s="24" t="n">
        <x:v>2051.262029874379</x:v>
      </x:c>
      <x:c r="H22" s="24" t="n">
        <x:v>7122.5</x:v>
      </x:c>
      <x:c r="I22" s="24" t="n">
        <x:v>-3309.146433291271</x:v>
      </x:c>
      <x:c r="J22" s="24" t="n">
        <x:v>-1257.884403416892</x:v>
      </x:c>
      <x:c r="K22" s="6" t="n">
        <x:v>3</x:v>
      </x:c>
      <x:c r="L22" s="6" t="n">
        <x:v>486</x:v>
      </x:c>
      <x:c r="M22" s="6" t="str">
        <x:v>conditional scenario, not observed savings</x:v>
      </x:c>
    </x:row>
    <x:row r="23" ht="20" customHeight="1">
      <x:c r="A23" s="6" t="str">
        <x:v>pilot</x:v>
      </x:c>
      <x:c r="B23" s="6" t="str">
        <x:v>No avoidable critical-case transfers</x:v>
      </x:c>
      <x:c r="C23" s="6" t="n">
        <x:v>37.5</x:v>
      </x:c>
      <x:c r="D23" s="6" t="n">
        <x:v>0</x:v>
      </x:c>
      <x:c r="E23" s="24" t="n">
        <x:v>14051.743943848045</x:v>
      </x:c>
      <x:c r="F23" s="24" t="n">
        <x:v>0</x:v>
      </x:c>
      <x:c r="G23" s="24" t="n">
        <x:v>0</x:v>
      </x:c>
      <x:c r="H23" s="24" t="n">
        <x:v>7122.5</x:v>
      </x:c>
      <x:c r="I23" s="24" t="n">
        <x:v>-14051.743943848045</x:v>
      </x:c>
      <x:c r="J23" s="24" t="n">
        <x:v>-14051.743943848045</x:v>
      </x:c>
      <x:c r="K23" s="6" t="n">
        <x:v>3</x:v>
      </x:c>
      <x:c r="L23" s="6" t="n">
        <x:v>486</x:v>
      </x:c>
      <x:c r="M23" s="6" t="str">
        <x:v>conditional scenario, not observed savings</x:v>
      </x:c>
    </x:row>
    <x:row r="24" ht="20" customHeight="1">
      <x:c r="A24" s="6" t="str">
        <x:v>pilot</x:v>
      </x:c>
      <x:c r="B24" s="6" t="str">
        <x:v>State uptake40%</x:v>
      </x:c>
      <x:c r="C24" s="6" t="n">
        <x:v>37.5</x:v>
      </x:c>
      <x:c r="D24" s="6" t="n">
        <x:v>2.319259946295539</x:v>
      </x:c>
      <x:c r="E24" s="24" t="n">
        <x:v>14051.743943848045</x:v>
      </x:c>
      <x:c r="F24" s="24" t="n">
        <x:v>18219.180993859398</x:v>
      </x:c>
      <x:c r="G24" s="24" t="n">
        <x:v>3478.889919443309</x:v>
      </x:c>
      <x:c r="H24" s="24" t="n">
        <x:v>7122.5</x:v>
      </x:c>
      <x:c r="I24" s="24" t="n">
        <x:v>4167.437050011353</x:v>
      </x:c>
      <x:c r="J24" s="24" t="n">
        <x:v>7646.326969454662</x:v>
      </x:c>
      <x:c r="K24" s="6" t="n">
        <x:v>3</x:v>
      </x:c>
      <x:c r="L24" s="6" t="n">
        <x:v>486</x:v>
      </x:c>
      <x:c r="M24" s="6" t="str">
        <x:v>conditional scenario, not observed savings</x:v>
      </x:c>
    </x:row>
    <x:row r="25" ht="20" customHeight="1">
      <x:c r="A25" s="6" t="str">
        <x:v>pilot</x:v>
      </x:c>
      <x:c r="B25" s="6" t="str">
        <x:v>State uptake100%</x:v>
      </x:c>
      <x:c r="C25" s="6" t="n">
        <x:v>37.5</x:v>
      </x:c>
      <x:c r="D25" s="6" t="n">
        <x:v>2.319259946295539</x:v>
      </x:c>
      <x:c r="E25" s="24" t="n">
        <x:v>14051.743943848045</x:v>
      </x:c>
      <x:c r="F25" s="24" t="n">
        <x:v>18219.180993859398</x:v>
      </x:c>
      <x:c r="G25" s="24" t="n">
        <x:v>3478.889919443309</x:v>
      </x:c>
      <x:c r="H25" s="24" t="n">
        <x:v>7122.5</x:v>
      </x:c>
      <x:c r="I25" s="24" t="n">
        <x:v>4167.437050011353</x:v>
      </x:c>
      <x:c r="J25" s="24" t="n">
        <x:v>7646.326969454662</x:v>
      </x:c>
      <x:c r="K25" s="6" t="n">
        <x:v>3</x:v>
      </x:c>
      <x:c r="L25" s="6" t="n">
        <x:v>486</x:v>
      </x:c>
      <x:c r="M25" s="6" t="str">
        <x:v>conditional scenario, not observed savings</x:v>
      </x:c>
    </x:row>
    <x:row r="26" ht="20" customHeight="1">
      <x:c r="A26" s="6" t="str">
        <x:v>pilot</x:v>
      </x:c>
      <x:c r="B26" s="6" t="str">
        <x:v>Birth volumes-20%</x:v>
      </x:c>
      <x:c r="C26" s="6" t="n">
        <x:v>37.5</x:v>
      </x:c>
      <x:c r="D26" s="6" t="n">
        <x:v>2.319259946295539</x:v>
      </x:c>
      <x:c r="E26" s="24" t="n">
        <x:v>14051.743943848045</x:v>
      </x:c>
      <x:c r="F26" s="24" t="n">
        <x:v>18219.180993859398</x:v>
      </x:c>
      <x:c r="G26" s="24" t="n">
        <x:v>3478.889919443309</x:v>
      </x:c>
      <x:c r="H26" s="24" t="n">
        <x:v>7122.5</x:v>
      </x:c>
      <x:c r="I26" s="24" t="n">
        <x:v>4167.437050011353</x:v>
      </x:c>
      <x:c r="J26" s="24" t="n">
        <x:v>7646.326969454662</x:v>
      </x:c>
      <x:c r="K26" s="6" t="n">
        <x:v>3</x:v>
      </x:c>
      <x:c r="L26" s="6" t="n">
        <x:v>486</x:v>
      </x:c>
      <x:c r="M26" s="6" t="str">
        <x:v>conditional scenario, not observed savings</x:v>
      </x:c>
    </x:row>
    <x:row r="27" ht="20" customHeight="1">
      <x:c r="A27" s="6" t="str">
        <x:v>pilot</x:v>
      </x:c>
      <x:c r="B27" s="6" t="str">
        <x:v>Birth volumes+20%</x:v>
      </x:c>
      <x:c r="C27" s="6" t="n">
        <x:v>37.5</x:v>
      </x:c>
      <x:c r="D27" s="6" t="n">
        <x:v>2.319259946295539</x:v>
      </x:c>
      <x:c r="E27" s="24" t="n">
        <x:v>14051.743943848045</x:v>
      </x:c>
      <x:c r="F27" s="24" t="n">
        <x:v>18219.180993859398</x:v>
      </x:c>
      <x:c r="G27" s="24" t="n">
        <x:v>3478.889919443309</x:v>
      </x:c>
      <x:c r="H27" s="24" t="n">
        <x:v>7122.5</x:v>
      </x:c>
      <x:c r="I27" s="24" t="n">
        <x:v>4167.437050011353</x:v>
      </x:c>
      <x:c r="J27" s="24" t="n">
        <x:v>7646.326969454662</x:v>
      </x:c>
      <x:c r="K27" s="6" t="n">
        <x:v>3</x:v>
      </x:c>
      <x:c r="L27" s="6" t="n">
        <x:v>486</x:v>
      </x:c>
      <x:c r="M27" s="6" t="str">
        <x:v>conditional scenario, not observed savings</x:v>
      </x:c>
    </x:row>
    <x:row r="28" ht="20" customHeight="1">
      <x:c r="A28" s="6" t="str">
        <x:v>pilot</x:v>
      </x:c>
      <x:c r="B28" s="6" t="str">
        <x:v>High shared hub cost</x:v>
      </x:c>
      <x:c r="C28" s="6" t="n">
        <x:v>37.5</x:v>
      </x:c>
      <x:c r="D28" s="6" t="n">
        <x:v>2.319259946295539</x:v>
      </x:c>
      <x:c r="E28" s="24" t="n">
        <x:v>14051.743943848045</x:v>
      </x:c>
      <x:c r="F28" s="24" t="n">
        <x:v>18219.180993859398</x:v>
      </x:c>
      <x:c r="G28" s="24" t="n">
        <x:v>3478.889919443309</x:v>
      </x:c>
      <x:c r="H28" s="24" t="n">
        <x:v>7122.5</x:v>
      </x:c>
      <x:c r="I28" s="24" t="n">
        <x:v>4167.437050011353</x:v>
      </x:c>
      <x:c r="J28" s="24" t="n">
        <x:v>7646.326969454662</x:v>
      </x:c>
      <x:c r="K28" s="6" t="n">
        <x:v>3</x:v>
      </x:c>
      <x:c r="L28" s="6" t="n">
        <x:v>486</x:v>
      </x:c>
      <x:c r="M28" s="6" t="str">
        <x:v>conditional scenario, not observed savings</x:v>
      </x:c>
    </x:row>
    <x:row r="29" ht="20" customHeight="1">
      <x:c r="A29" s="6" t="str">
        <x:v>pilot</x:v>
      </x:c>
      <x:c r="B29" s="6" t="str">
        <x:v>No new shared hub cost</x:v>
      </x:c>
      <x:c r="C29" s="6" t="n">
        <x:v>37.5</x:v>
      </x:c>
      <x:c r="D29" s="6" t="n">
        <x:v>2.319259946295539</x:v>
      </x:c>
      <x:c r="E29" s="24" t="n">
        <x:v>14051.743943848045</x:v>
      </x:c>
      <x:c r="F29" s="24" t="n">
        <x:v>18219.180993859398</x:v>
      </x:c>
      <x:c r="G29" s="24" t="n">
        <x:v>3478.889919443309</x:v>
      </x:c>
      <x:c r="H29" s="24" t="n">
        <x:v>7122.5</x:v>
      </x:c>
      <x:c r="I29" s="24" t="n">
        <x:v>4167.437050011353</x:v>
      </x:c>
      <x:c r="J29" s="24" t="n">
        <x:v>7646.326969454662</x:v>
      </x:c>
      <x:c r="K29" s="6" t="n">
        <x:v>3</x:v>
      </x:c>
      <x:c r="L29" s="6" t="n">
        <x:v>486</x:v>
      </x:c>
      <x:c r="M29" s="6" t="str">
        <x:v>conditional scenario, not observed savings</x:v>
      </x:c>
    </x:row>
    <x:row r="30" ht="20" customHeight="1">
      <x:c r="A30" s="6" t="str">
        <x:v>pilot</x:v>
      </x:c>
      <x:c r="B30" s="6" t="str">
        <x:v>Discount0%</x:v>
      </x:c>
      <x:c r="C30" s="6" t="n">
        <x:v>37.5</x:v>
      </x:c>
      <x:c r="D30" s="6" t="n">
        <x:v>2.319259946295539</x:v>
      </x:c>
      <x:c r="E30" s="24" t="n">
        <x:v>13122.499999999998</x:v>
      </x:c>
      <x:c r="F30" s="24" t="n">
        <x:v>18219.180993859398</x:v>
      </x:c>
      <x:c r="G30" s="24" t="n">
        <x:v>3478.889919443309</x:v>
      </x:c>
      <x:c r="H30" s="24" t="n">
        <x:v>7122.5</x:v>
      </x:c>
      <x:c r="I30" s="24" t="n">
        <x:v>5096.6809938594</x:v>
      </x:c>
      <x:c r="J30" s="24" t="n">
        <x:v>8575.570913302709</x:v>
      </x:c>
      <x:c r="K30" s="6" t="n">
        <x:v>3</x:v>
      </x:c>
      <x:c r="L30" s="6" t="n">
        <x:v>486</x:v>
      </x:c>
      <x:c r="M30" s="6" t="str">
        <x:v>conditional scenario, not observed savings</x:v>
      </x:c>
    </x:row>
    <x:row r="31" ht="20" customHeight="1">
      <x:c r="A31" s="6" t="str">
        <x:v>pilot</x:v>
      </x:c>
      <x:c r="B31" s="6" t="str">
        <x:v>Discount3%</x:v>
      </x:c>
      <x:c r="C31" s="6" t="n">
        <x:v>37.5</x:v>
      </x:c>
      <x:c r="D31" s="6" t="n">
        <x:v>2.319259946295539</x:v>
      </x:c>
      <x:c r="E31" s="24" t="n">
        <x:v>13673.13714201728</x:v>
      </x:c>
      <x:c r="F31" s="24" t="n">
        <x:v>18219.180993859398</x:v>
      </x:c>
      <x:c r="G31" s="24" t="n">
        <x:v>3478.889919443309</x:v>
      </x:c>
      <x:c r="H31" s="24" t="n">
        <x:v>7122.5</x:v>
      </x:c>
      <x:c r="I31" s="24" t="n">
        <x:v>4546.043851842118</x:v>
      </x:c>
      <x:c r="J31" s="24" t="n">
        <x:v>8024.933771285427</x:v>
      </x:c>
      <x:c r="K31" s="6" t="n">
        <x:v>3</x:v>
      </x:c>
      <x:c r="L31" s="6" t="n">
        <x:v>486</x:v>
      </x:c>
      <x:c r="M31" s="6" t="str">
        <x:v>conditional scenario, not observed savings</x:v>
      </x:c>
    </x:row>
    <x:row r="32" ht="20" customHeight="1">
      <x:c r="A32" s="6" t="str">
        <x:v>pilot</x:v>
      </x:c>
      <x:c r="B32" s="6" t="str">
        <x:v>Air cost +30% versus CPI</x:v>
      </x:c>
      <x:c r="C32" s="6" t="n">
        <x:v>37.5</x:v>
      </x:c>
      <x:c r="D32" s="6" t="n">
        <x:v>2.319259946295539</x:v>
      </x:c>
      <x:c r="E32" s="24" t="n">
        <x:v>14051.743943848045</x:v>
      </x:c>
      <x:c r="F32" s="24" t="n">
        <x:v>21824.64468246227</x:v>
      </x:c>
      <x:c r="G32" s="24" t="n">
        <x:v>3478.889919443309</x:v>
      </x:c>
      <x:c r="H32" s="24" t="n">
        <x:v>7122.5</x:v>
      </x:c>
      <x:c r="I32" s="24" t="n">
        <x:v>7772.900738614224</x:v>
      </x:c>
      <x:c r="J32" s="24" t="n">
        <x:v>11251.790658057533</x:v>
      </x:c>
      <x:c r="K32" s="6" t="n">
        <x:v>3</x:v>
      </x:c>
      <x:c r="L32" s="6" t="n">
        <x:v>486</x:v>
      </x:c>
      <x:c r="M32" s="6" t="str">
        <x:v>conditional scenario, not observed savings</x:v>
      </x:c>
    </x:row>
    <x:row r="33" ht="20" customHeight="1">
      <x:c r="A33" s="6" t="str">
        <x:v>pilot</x:v>
      </x:c>
      <x:c r="B33" s="6" t="str">
        <x:v>2018 assumed air-price year</x:v>
      </x:c>
      <x:c r="C33" s="6" t="n">
        <x:v>37.5</x:v>
      </x:c>
      <x:c r="D33" s="6" t="n">
        <x:v>2.319259946295539</x:v>
      </x:c>
      <x:c r="E33" s="24" t="n">
        <x:v>14051.743943848045</x:v>
      </x:c>
      <x:c r="F33" s="24" t="n">
        <x:v>18412.766496410157</x:v>
      </x:c>
      <x:c r="G33" s="24" t="n">
        <x:v>3478.889919443309</x:v>
      </x:c>
      <x:c r="H33" s="24" t="n">
        <x:v>7122.5</x:v>
      </x:c>
      <x:c r="I33" s="24" t="n">
        <x:v>4361.022552562112</x:v>
      </x:c>
      <x:c r="J33" s="24" t="n">
        <x:v>7839.912472005421</x:v>
      </x:c>
      <x:c r="K33" s="6" t="n">
        <x:v>3</x:v>
      </x:c>
      <x:c r="L33" s="6" t="n">
        <x:v>486</x:v>
      </x:c>
      <x:c r="M33" s="6" t="str">
        <x:v>conditional scenario, not observed savings</x:v>
      </x:c>
    </x:row>
    <x:row r="34" ht="20" customHeight="1">
      <x:c r="A34" s="6" t="str">
        <x:v>spokes</x:v>
      </x:c>
      <x:c r="B34" s="6" t="str">
        <x:v>Base attenuated effect</x:v>
      </x:c>
      <x:c r="C34" s="6" t="n">
        <x:v>1114.5432098765434</x:v>
      </x:c>
      <x:c r="D34" s="6" t="n">
        <x:v>68.93107800219543</x:v>
      </x:c>
      <x:c r="E34" s="24" t="n">
        <x:v>327222.4241230693</x:v>
      </x:c>
      <x:c r="F34" s="24" t="n">
        <x:v>465134.9039668027</x:v>
      </x:c>
      <x:c r="G34" s="24" t="n">
        <x:v>103396.61700329318</x:v>
      </x:c>
      <x:c r="H34" s="24" t="n">
        <x:v>251000.74074074073</x:v>
      </x:c>
      <x:c r="I34" s="24" t="n">
        <x:v>137912.47984373342</x:v>
      </x:c>
      <x:c r="J34" s="24" t="n">
        <x:v>241309.0968470266</x:v>
      </x:c>
      <x:c r="K34" s="6" t="n">
        <x:v>33</x:v>
      </x:c>
      <x:c r="L34" s="6" t="n">
        <x:v>28276</x:v>
      </x:c>
      <x:c r="M34" s="6" t="str">
        <x:v>conditional scenario, not observed savings</x:v>
      </x:c>
    </x:row>
    <x:row r="35" ht="20" customHeight="1">
      <x:c r="A35" s="6" t="str">
        <x:v>spokes</x:v>
      </x:c>
      <x:c r="B35" s="6" t="str">
        <x:v>No incremental video effect</x:v>
      </x:c>
      <x:c r="C35" s="6" t="n">
        <x:v>1114.5432098765434</x:v>
      </x:c>
      <x:c r="D35" s="6" t="n">
        <x:v>0</x:v>
      </x:c>
      <x:c r="E35" s="24" t="n">
        <x:v>327222.4241230693</x:v>
      </x:c>
      <x:c r="F35" s="24" t="n">
        <x:v>0</x:v>
      </x:c>
      <x:c r="G35" s="24" t="n">
        <x:v>0</x:v>
      </x:c>
      <x:c r="H35" s="24" t="n">
        <x:v>251000.74074074073</x:v>
      </x:c>
      <x:c r="I35" s="24" t="n">
        <x:v>-327222.4241230693</x:v>
      </x:c>
      <x:c r="J35" s="24" t="n">
        <x:v>-327222.4241230693</x:v>
      </x:c>
      <x:c r="K35" s="6" t="n">
        <x:v>33</x:v>
      </x:c>
      <x:c r="L35" s="6" t="n">
        <x:v>28276</x:v>
      </x:c>
      <x:c r="M35" s="6" t="str">
        <x:v>conditional scenario, not observed savings</x:v>
      </x:c>
    </x:row>
    <x:row r="36" ht="20" customHeight="1">
      <x:c r="A36" s="6" t="str">
        <x:v>spokes</x:v>
      </x:c>
      <x:c r="B36" s="6" t="str">
        <x:v>Published OR without attenuation</x:v>
      </x:c>
      <x:c r="C36" s="6" t="n">
        <x:v>1114.5432098765434</x:v>
      </x:c>
      <x:c r="D36" s="6" t="n">
        <x:v>135.42582613344308</x:v>
      </x:c>
      <x:c r="E36" s="24" t="n">
        <x:v>327222.4241230693</x:v>
      </x:c>
      <x:c r="F36" s="24" t="n">
        <x:v>913829.8784649463</x:v>
      </x:c>
      <x:c r="G36" s="24" t="n">
        <x:v>203138.73920016462</x:v>
      </x:c>
      <x:c r="H36" s="24" t="n">
        <x:v>251000.74074074073</x:v>
      </x:c>
      <x:c r="I36" s="24" t="n">
        <x:v>586607.454341877</x:v>
      </x:c>
      <x:c r="J36" s="24" t="n">
        <x:v>789746.1935420416</x:v>
      </x:c>
      <x:c r="K36" s="6" t="n">
        <x:v>33</x:v>
      </x:c>
      <x:c r="L36" s="6" t="n">
        <x:v>28276</x:v>
      </x:c>
      <x:c r="M36" s="6" t="str">
        <x:v>conditional scenario, not observed savings</x:v>
      </x:c>
    </x:row>
    <x:row r="37" ht="20" customHeight="1">
      <x:c r="A37" s="6" t="str">
        <x:v>spokes</x:v>
      </x:c>
      <x:c r="B37" s="6" t="str">
        <x:v>Increased transfers OR1.1</x:v>
      </x:c>
      <x:c r="C37" s="6" t="n">
        <x:v>1114.5432098765434</x:v>
      </x:c>
      <x:c r="D37" s="6" t="n">
        <x:v>-18.864579852441672</x:v>
      </x:c>
      <x:c r="E37" s="24" t="n">
        <x:v>327222.4241230693</x:v>
      </x:c>
      <x:c r="F37" s="24" t="n">
        <x:v>-137223.6241615293</x:v>
      </x:c>
      <x:c r="G37" s="24" t="n">
        <x:v>-28296.8697786625</x:v>
      </x:c>
      <x:c r="H37" s="24" t="n">
        <x:v>251000.74074074073</x:v>
      </x:c>
      <x:c r="I37" s="24" t="n">
        <x:v>-464446.04828459857</x:v>
      </x:c>
      <x:c r="J37" s="24" t="n">
        <x:v>-492742.9180632611</x:v>
      </x:c>
      <x:c r="K37" s="6" t="n">
        <x:v>33</x:v>
      </x:c>
      <x:c r="L37" s="6" t="n">
        <x:v>28276</x:v>
      </x:c>
      <x:c r="M37" s="6" t="str">
        <x:v>conditional scenario, not observed savings</x:v>
      </x:c>
    </x:row>
    <x:row r="38" ht="20" customHeight="1">
      <x:c r="A38" s="6" t="str">
        <x:v>spokes</x:v>
      </x:c>
      <x:c r="B38" s="6" t="str">
        <x:v>Full allocated retrieval value</x:v>
      </x:c>
      <x:c r="C38" s="6" t="n">
        <x:v>1114.5432098765434</x:v>
      </x:c>
      <x:c r="D38" s="6" t="n">
        <x:v>68.93107800219543</x:v>
      </x:c>
      <x:c r="E38" s="24" t="n">
        <x:v>327222.4241230693</x:v>
      </x:c>
      <x:c r="F38" s="24" t="n">
        <x:v>828687.1666672122</x:v>
      </x:c>
      <x:c r="G38" s="24" t="n">
        <x:v>103396.61700329318</x:v>
      </x:c>
      <x:c r="H38" s="24" t="n">
        <x:v>251000.74074074073</x:v>
      </x:c>
      <x:c r="I38" s="24" t="n">
        <x:v>501464.7425441429</x:v>
      </x:c>
      <x:c r="J38" s="24" t="n">
        <x:v>604861.359547436</x:v>
      </x:c>
      <x:c r="K38" s="6" t="n">
        <x:v>33</x:v>
      </x:c>
      <x:c r="L38" s="6" t="n">
        <x:v>28276</x:v>
      </x:c>
      <x:c r="M38" s="6" t="str">
        <x:v>conditional scenario, not observed savings</x:v>
      </x:c>
    </x:row>
    <x:row r="39" ht="20" customHeight="1">
      <x:c r="A39" s="6" t="str">
        <x:v>spokes</x:v>
      </x:c>
      <x:c r="B39" s="6" t="str">
        <x:v>25% avoidable retrieval resources</x:v>
      </x:c>
      <x:c r="C39" s="6" t="n">
        <x:v>1114.5432098765434</x:v>
      </x:c>
      <x:c r="D39" s="6" t="n">
        <x:v>68.93107800219543</x:v>
      </x:c>
      <x:c r="E39" s="24" t="n">
        <x:v>327222.4241230693</x:v>
      </x:c>
      <x:c r="F39" s="24" t="n">
        <x:v>283358.772616598</x:v>
      </x:c>
      <x:c r="G39" s="24" t="n">
        <x:v>103396.61700329318</x:v>
      </x:c>
      <x:c r="H39" s="24" t="n">
        <x:v>251000.74074074073</x:v>
      </x:c>
      <x:c r="I39" s="24" t="n">
        <x:v>-43863.65150647127</x:v>
      </x:c>
      <x:c r="J39" s="24" t="n">
        <x:v>59532.96549682191</x:v>
      </x:c>
      <x:c r="K39" s="6" t="n">
        <x:v>33</x:v>
      </x:c>
      <x:c r="L39" s="6" t="n">
        <x:v>28276</x:v>
      </x:c>
      <x:c r="M39" s="6" t="str">
        <x:v>conditional scenario, not observed savings</x:v>
      </x:c>
    </x:row>
    <x:row r="40" ht="20" customHeight="1">
      <x:c r="A40" s="6" t="str">
        <x:v>spokes</x:v>
      </x:c>
      <x:c r="B40" s="6" t="str">
        <x:v>No downstream hospital savings</x:v>
      </x:c>
      <x:c r="C40" s="6" t="n">
        <x:v>1114.5432098765434</x:v>
      </x:c>
      <x:c r="D40" s="6" t="n">
        <x:v>68.93107800219543</x:v>
      </x:c>
      <x:c r="E40" s="24" t="n">
        <x:v>327222.4241230693</x:v>
      </x:c>
      <x:c r="F40" s="24" t="n">
        <x:v>327272.74796241196</x:v>
      </x:c>
      <x:c r="G40" s="24" t="n">
        <x:v>103396.61700329318</x:v>
      </x:c>
      <x:c r="H40" s="24" t="n">
        <x:v>251000.74074074073</x:v>
      </x:c>
      <x:c r="I40" s="24" t="n">
        <x:v>50.32383934268728</x:v>
      </x:c>
      <x:c r="J40" s="24" t="n">
        <x:v>103446.94084263587</x:v>
      </x:c>
      <x:c r="K40" s="6" t="n">
        <x:v>33</x:v>
      </x:c>
      <x:c r="L40" s="6" t="n">
        <x:v>28276</x:v>
      </x:c>
      <x:c r="M40" s="6" t="str">
        <x:v>conditional scenario, not observed savings</x:v>
      </x:c>
    </x:row>
    <x:row r="41" ht="20" customHeight="1">
      <x:c r="A41" s="6" t="str">
        <x:v>spokes</x:v>
      </x:c>
      <x:c r="B41" s="6" t="str">
        <x:v>More local hospital cost</x:v>
      </x:c>
      <x:c r="C41" s="6" t="n">
        <x:v>1114.5432098765434</x:v>
      </x:c>
      <x:c r="D41" s="6" t="n">
        <x:v>68.93107800219543</x:v>
      </x:c>
      <x:c r="E41" s="24" t="n">
        <x:v>327222.4241230693</x:v>
      </x:c>
      <x:c r="F41" s="24" t="n">
        <x:v>51548.43595363011</x:v>
      </x:c>
      <x:c r="G41" s="24" t="n">
        <x:v>103396.61700329318</x:v>
      </x:c>
      <x:c r="H41" s="24" t="n">
        <x:v>251000.74074074073</x:v>
      </x:c>
      <x:c r="I41" s="24" t="n">
        <x:v>-275673.98816943914</x:v>
      </x:c>
      <x:c r="J41" s="24" t="n">
        <x:v>-172277.37116614595</x:v>
      </x:c>
      <x:c r="K41" s="6" t="n">
        <x:v>33</x:v>
      </x:c>
      <x:c r="L41" s="6" t="n">
        <x:v>28276</x:v>
      </x:c>
      <x:c r="M41" s="6" t="str">
        <x:v>conditional scenario, not observed savings</x:v>
      </x:c>
    </x:row>
    <x:row r="42" ht="20" customHeight="1">
      <x:c r="A42" s="6" t="str">
        <x:v>spokes</x:v>
      </x:c>
      <x:c r="B42" s="6" t="str">
        <x:v>Continuation: exclude sunk equipment</x:v>
      </x:c>
      <x:c r="C42" s="6" t="n">
        <x:v>1114.5432098765434</x:v>
      </x:c>
      <x:c r="D42" s="6" t="n">
        <x:v>68.93107800219543</x:v>
      </x:c>
      <x:c r="E42" s="24" t="n">
        <x:v>251000.74074074073</x:v>
      </x:c>
      <x:c r="F42" s="24" t="n">
        <x:v>465134.9039668027</x:v>
      </x:c>
      <x:c r="G42" s="24" t="n">
        <x:v>103396.61700329318</x:v>
      </x:c>
      <x:c r="H42" s="24" t="n">
        <x:v>251000.74074074073</x:v>
      </x:c>
      <x:c r="I42" s="24" t="n">
        <x:v>214134.16322606197</x:v>
      </x:c>
      <x:c r="J42" s="24" t="n">
        <x:v>317530.78022935515</x:v>
      </x:c>
      <x:c r="K42" s="6" t="n">
        <x:v>33</x:v>
      </x:c>
      <x:c r="L42" s="6" t="n">
        <x:v>28276</x:v>
      </x:c>
      <x:c r="M42" s="6" t="str">
        <x:v>conditional scenario, not observed savings</x:v>
      </x:c>
    </x:row>
    <x:row r="43" ht="20" customHeight="1">
      <x:c r="A43" s="6" t="str">
        <x:v>spokes</x:v>
      </x:c>
      <x:c r="B43" s="6" t="str">
        <x:v>Tablet component estimate4500</x:v>
      </x:c>
      <x:c r="C43" s="6" t="n">
        <x:v>1114.5432098765434</x:v>
      </x:c>
      <x:c r="D43" s="6" t="n">
        <x:v>68.93107800219543</x:v>
      </x:c>
      <x:c r="E43" s="24" t="n">
        <x:v>285300.4982627886</x:v>
      </x:c>
      <x:c r="F43" s="24" t="n">
        <x:v>465134.9039668027</x:v>
      </x:c>
      <x:c r="G43" s="24" t="n">
        <x:v>103396.61700329318</x:v>
      </x:c>
      <x:c r="H43" s="24" t="n">
        <x:v>251000.74074074073</x:v>
      </x:c>
      <x:c r="I43" s="24" t="n">
        <x:v>179834.40570401412</x:v>
      </x:c>
      <x:c r="J43" s="24" t="n">
        <x:v>283231.0227073073</x:v>
      </x:c>
      <x:c r="K43" s="6" t="n">
        <x:v>33</x:v>
      </x:c>
      <x:c r="L43" s="6" t="n">
        <x:v>28276</x:v>
      </x:c>
      <x:c r="M43" s="6" t="str">
        <x:v>conditional scenario, not observed savings</x:v>
      </x:c>
    </x:row>
    <x:row r="44" ht="20" customHeight="1">
      <x:c r="A44" s="6" t="str">
        <x:v>spokes</x:v>
      </x:c>
      <x:c r="B44" s="6" t="str">
        <x:v>Commercial cart45000</x:v>
      </x:c>
      <x:c r="C44" s="6" t="n">
        <x:v>1114.5432098765434</x:v>
      </x:c>
      <x:c r="D44" s="6" t="n">
        <x:v>68.93107800219543</x:v>
      </x:c>
      <x:c r="E44" s="24" t="n">
        <x:v>593998.3159612189</x:v>
      </x:c>
      <x:c r="F44" s="24" t="n">
        <x:v>465134.9039668027</x:v>
      </x:c>
      <x:c r="G44" s="24" t="n">
        <x:v>103396.61700329318</x:v>
      </x:c>
      <x:c r="H44" s="24" t="n">
        <x:v>251000.74074074073</x:v>
      </x:c>
      <x:c r="I44" s="24" t="n">
        <x:v>-128863.41199441621</x:v>
      </x:c>
      <x:c r="J44" s="24" t="n">
        <x:v>-25466.794991123024</x:v>
      </x:c>
      <x:c r="K44" s="6" t="n">
        <x:v>33</x:v>
      </x:c>
      <x:c r="L44" s="6" t="n">
        <x:v>28276</x:v>
      </x:c>
      <x:c r="M44" s="6" t="str">
        <x:v>conditional scenario, not observed savings</x:v>
      </x:c>
    </x:row>
    <x:row r="45" ht="20" customHeight="1">
      <x:c r="A45" s="6" t="str">
        <x:v>spokes</x:v>
      </x:c>
      <x:c r="B45" s="6" t="str">
        <x:v>10calls/pilot site</x:v>
      </x:c>
      <x:c r="C45" s="6" t="n">
        <x:v>891.6345679012347</x:v>
      </x:c>
      <x:c r="D45" s="6" t="n">
        <x:v>55.14486240175636</x:v>
      </x:c>
      <x:c r="E45" s="24" t="n">
        <x:v>280504.27597492107</x:v>
      </x:c>
      <x:c r="F45" s="24" t="n">
        <x:v>372107.9231734422</x:v>
      </x:c>
      <x:c r="G45" s="24" t="n">
        <x:v>82717.29360263453</x:v>
      </x:c>
      <x:c r="H45" s="24" t="n">
        <x:v>204282.5925925926</x:v>
      </x:c>
      <x:c r="I45" s="24" t="n">
        <x:v>91603.64719852112</x:v>
      </x:c>
      <x:c r="J45" s="24" t="n">
        <x:v>174320.94080115564</x:v>
      </x:c>
      <x:c r="K45" s="6" t="n">
        <x:v>33</x:v>
      </x:c>
      <x:c r="L45" s="6" t="n">
        <x:v>28276</x:v>
      </x:c>
      <x:c r="M45" s="6" t="str">
        <x:v>conditional scenario, not observed savings</x:v>
      </x:c>
    </x:row>
    <x:row r="46" ht="20" customHeight="1">
      <x:c r="A46" s="6" t="str">
        <x:v>spokes</x:v>
      </x:c>
      <x:c r="B46" s="6" t="str">
        <x:v>15calls/pilot site</x:v>
      </x:c>
      <x:c r="C46" s="6" t="n">
        <x:v>1337.4518518518514</x:v>
      </x:c>
      <x:c r="D46" s="6" t="n">
        <x:v>82.71729360263451</x:v>
      </x:c>
      <x:c r="E46" s="24" t="n">
        <x:v>343940.5722712173</x:v>
      </x:c>
      <x:c r="F46" s="24" t="n">
        <x:v>558161.8847601631</x:v>
      </x:c>
      <x:c r="G46" s="24" t="n">
        <x:v>124075.94040395181</x:v>
      </x:c>
      <x:c r="H46" s="24" t="n">
        <x:v>267718.8888888889</x:v>
      </x:c>
      <x:c r="I46" s="24" t="n">
        <x:v>214221.31248894584</x:v>
      </x:c>
      <x:c r="J46" s="24" t="n">
        <x:v>338297.25289289764</x:v>
      </x:c>
      <x:c r="K46" s="6" t="n">
        <x:v>33</x:v>
      </x:c>
      <x:c r="L46" s="6" t="n">
        <x:v>28276</x:v>
      </x:c>
      <x:c r="M46" s="6" t="str">
        <x:v>conditional scenario, not observed savings</x:v>
      </x:c>
    </x:row>
    <x:row r="47" ht="20" customHeight="1">
      <x:c r="A47" s="6" t="str">
        <x:v>spokes</x:v>
      </x:c>
      <x:c r="B47" s="6" t="str">
        <x:v>Technical reliability70%</x:v>
      </x:c>
      <x:c r="C47" s="6" t="n">
        <x:v>1114.5432098765434</x:v>
      </x:c>
      <x:c r="D47" s="6" t="n">
        <x:v>50.79132063319664</x:v>
      </x:c>
      <x:c r="E47" s="24" t="n">
        <x:v>327222.4241230693</x:v>
      </x:c>
      <x:c r="F47" s="24" t="n">
        <x:v>342730.98187027575</x:v>
      </x:c>
      <x:c r="G47" s="24" t="n">
        <x:v>76186.98094979495</x:v>
      </x:c>
      <x:c r="H47" s="24" t="n">
        <x:v>251000.74074074073</x:v>
      </x:c>
      <x:c r="I47" s="24" t="n">
        <x:v>15508.557747206476</x:v>
      </x:c>
      <x:c r="J47" s="24" t="n">
        <x:v>91695.53869700142</x:v>
      </x:c>
      <x:c r="K47" s="6" t="n">
        <x:v>33</x:v>
      </x:c>
      <x:c r="L47" s="6" t="n">
        <x:v>28276</x:v>
      </x:c>
      <x:c r="M47" s="6" t="str">
        <x:v>conditional scenario, not observed savings</x:v>
      </x:c>
    </x:row>
    <x:row r="48" ht="20" customHeight="1">
      <x:c r="A48" s="6" t="str">
        <x:v>spokes</x:v>
      </x:c>
      <x:c r="B48" s="6" t="str">
        <x:v>Delayed rescue20%</x:v>
      </x:c>
      <x:c r="C48" s="6" t="n">
        <x:v>1114.5432098765434</x:v>
      </x:c>
      <x:c r="D48" s="6" t="n">
        <x:v>58.04722358079616</x:v>
      </x:c>
      <x:c r="E48" s="24" t="n">
        <x:v>327222.4241230693</x:v>
      </x:c>
      <x:c r="F48" s="24" t="n">
        <x:v>277125.66206257825</x:v>
      </x:c>
      <x:c r="G48" s="24" t="n">
        <x:v>87070.83537119423</x:v>
      </x:c>
      <x:c r="H48" s="24" t="n">
        <x:v>251000.74074074073</x:v>
      </x:c>
      <x:c r="I48" s="24" t="n">
        <x:v>-50096.76206049102</x:v>
      </x:c>
      <x:c r="J48" s="24" t="n">
        <x:v>36974.073310703214</x:v>
      </x:c>
      <x:c r="K48" s="6" t="n">
        <x:v>33</x:v>
      </x:c>
      <x:c r="L48" s="6" t="n">
        <x:v>28276</x:v>
      </x:c>
      <x:c r="M48" s="6" t="str">
        <x:v>conditional scenario, not observed savings</x:v>
      </x:c>
    </x:row>
    <x:row r="49" ht="20" customHeight="1">
      <x:c r="A49" s="6" t="str">
        <x:v>spokes</x:v>
      </x:c>
      <x:c r="B49" s="6" t="str">
        <x:v>Air-heavy geography</x:v>
      </x:c>
      <x:c r="C49" s="6" t="n">
        <x:v>1114.5432098765434</x:v>
      </x:c>
      <x:c r="D49" s="6" t="n">
        <x:v>68.93107800219543</x:v>
      </x:c>
      <x:c r="E49" s="24" t="n">
        <x:v>327222.4241230693</x:v>
      </x:c>
      <x:c r="F49" s="24" t="n">
        <x:v>650708.1267819613</x:v>
      </x:c>
      <x:c r="G49" s="24" t="n">
        <x:v>103396.61700329318</x:v>
      </x:c>
      <x:c r="H49" s="24" t="n">
        <x:v>251000.74074074073</x:v>
      </x:c>
      <x:c r="I49" s="24" t="n">
        <x:v>323485.702658892</x:v>
      </x:c>
      <x:c r="J49" s="24" t="n">
        <x:v>426882.3196621852</x:v>
      </x:c>
      <x:c r="K49" s="6" t="n">
        <x:v>33</x:v>
      </x:c>
      <x:c r="L49" s="6" t="n">
        <x:v>28276</x:v>
      </x:c>
      <x:c r="M49" s="6" t="str">
        <x:v>conditional scenario, not observed savings</x:v>
      </x:c>
    </x:row>
    <x:row r="50" ht="20" customHeight="1">
      <x:c r="A50" s="6" t="str">
        <x:v>spokes</x:v>
      </x:c>
      <x:c r="B50" s="6" t="str">
        <x:v>Road-heavy geography</x:v>
      </x:c>
      <x:c r="C50" s="6" t="n">
        <x:v>1114.5432098765434</x:v>
      </x:c>
      <x:c r="D50" s="6" t="n">
        <x:v>68.93107800219543</x:v>
      </x:c>
      <x:c r="E50" s="24" t="n">
        <x:v>327222.4241230693</x:v>
      </x:c>
      <x:c r="F50" s="24" t="n">
        <x:v>319772.8978976624</x:v>
      </x:c>
      <x:c r="G50" s="24" t="n">
        <x:v>103396.61700329318</x:v>
      </x:c>
      <x:c r="H50" s="24" t="n">
        <x:v>251000.74074074073</x:v>
      </x:c>
      <x:c r="I50" s="24" t="n">
        <x:v>-7449.526225406851</x:v>
      </x:c>
      <x:c r="J50" s="24" t="n">
        <x:v>95947.09077788633</x:v>
      </x:c>
      <x:c r="K50" s="6" t="n">
        <x:v>33</x:v>
      </x:c>
      <x:c r="L50" s="6" t="n">
        <x:v>28276</x:v>
      </x:c>
      <x:c r="M50" s="6" t="str">
        <x:v>conditional scenario, not observed savings</x:v>
      </x:c>
    </x:row>
    <x:row r="51" ht="20" customHeight="1">
      <x:c r="A51" s="6" t="str">
        <x:v>spokes</x:v>
      </x:c>
      <x:c r="B51" s="6" t="str">
        <x:v>Critical casemix50%</x:v>
      </x:c>
      <x:c r="C51" s="6" t="n">
        <x:v>1114.5432098765434</x:v>
      </x:c>
      <x:c r="D51" s="6" t="n">
        <x:v>40.64391408131671</x:v>
      </x:c>
      <x:c r="E51" s="24" t="n">
        <x:v>327222.4241230693</x:v>
      </x:c>
      <x:c r="F51" s="24" t="n">
        <x:v>274258.05051889824</x:v>
      </x:c>
      <x:c r="G51" s="24" t="n">
        <x:v>60965.871121975055</x:v>
      </x:c>
      <x:c r="H51" s="24" t="n">
        <x:v>251000.74074074073</x:v>
      </x:c>
      <x:c r="I51" s="24" t="n">
        <x:v>-52964.373604171036</x:v>
      </x:c>
      <x:c r="J51" s="24" t="n">
        <x:v>8001.497517804019</x:v>
      </x:c>
      <x:c r="K51" s="6" t="n">
        <x:v>33</x:v>
      </x:c>
      <x:c r="L51" s="6" t="n">
        <x:v>28276</x:v>
      </x:c>
      <x:c r="M51" s="6" t="str">
        <x:v>conditional scenario, not observed savings</x:v>
      </x:c>
    </x:row>
    <x:row r="52" ht="20" customHeight="1">
      <x:c r="A52" s="6" t="str">
        <x:v>spokes</x:v>
      </x:c>
      <x:c r="B52" s="6" t="str">
        <x:v>No avoidable critical-case transfers</x:v>
      </x:c>
      <x:c r="C52" s="6" t="n">
        <x:v>1114.5432098765434</x:v>
      </x:c>
      <x:c r="D52" s="6" t="n">
        <x:v>0</x:v>
      </x:c>
      <x:c r="E52" s="24" t="n">
        <x:v>327222.4241230693</x:v>
      </x:c>
      <x:c r="F52" s="24" t="n">
        <x:v>0</x:v>
      </x:c>
      <x:c r="G52" s="24" t="n">
        <x:v>0</x:v>
      </x:c>
      <x:c r="H52" s="24" t="n">
        <x:v>251000.74074074073</x:v>
      </x:c>
      <x:c r="I52" s="24" t="n">
        <x:v>-327222.4241230693</x:v>
      </x:c>
      <x:c r="J52" s="24" t="n">
        <x:v>-327222.4241230693</x:v>
      </x:c>
      <x:c r="K52" s="6" t="n">
        <x:v>33</x:v>
      </x:c>
      <x:c r="L52" s="6" t="n">
        <x:v>28276</x:v>
      </x:c>
      <x:c r="M52" s="6" t="str">
        <x:v>conditional scenario, not observed savings</x:v>
      </x:c>
    </x:row>
    <x:row r="53" ht="20" customHeight="1">
      <x:c r="A53" s="6" t="str">
        <x:v>spokes</x:v>
      </x:c>
      <x:c r="B53" s="6" t="str">
        <x:v>State uptake40%</x:v>
      </x:c>
      <x:c r="C53" s="6" t="n">
        <x:v>576.0216049382717</x:v>
      </x:c>
      <x:c r="D53" s="6" t="n">
        <x:v>35.62516897424548</x:v>
      </x:c>
      <x:c r="E53" s="24" t="n">
        <x:v>256833.30375269888</x:v>
      </x:c>
      <x:c r="F53" s="24" t="n">
        <x:v>241677.04248033106</x:v>
      </x:c>
      <x:c r="G53" s="24" t="n">
        <x:v>53437.753461368244</x:v>
      </x:c>
      <x:c r="H53" s="24" t="n">
        <x:v>180611.6203703704</x:v>
      </x:c>
      <x:c r="I53" s="24" t="n">
        <x:v>-15156.261272367818</x:v>
      </x:c>
      <x:c r="J53" s="24" t="n">
        <x:v>38281.492189000426</x:v>
      </x:c>
      <x:c r="K53" s="6" t="n">
        <x:v>33</x:v>
      </x:c>
      <x:c r="L53" s="6" t="n">
        <x:v>28276</x:v>
      </x:c>
      <x:c r="M53" s="6" t="str">
        <x:v>conditional scenario, not observed savings</x:v>
      </x:c>
    </x:row>
    <x:row r="54" ht="20" customHeight="1">
      <x:c r="A54" s="6" t="str">
        <x:v>spokes</x:v>
      </x:c>
      <x:c r="B54" s="6" t="str">
        <x:v>State uptake100%</x:v>
      </x:c>
      <x:c r="C54" s="6" t="n">
        <x:v>1383.8040123456792</x:v>
      </x:c>
      <x:c r="D54" s="6" t="n">
        <x:v>85.58403251617041</x:v>
      </x:c>
      <x:c r="E54" s="24" t="n">
        <x:v>347416.9843082544</x:v>
      </x:c>
      <x:c r="F54" s="24" t="n">
        <x:v>576863.8347100384</x:v>
      </x:c>
      <x:c r="G54" s="24" t="n">
        <x:v>128376.04877425559</x:v>
      </x:c>
      <x:c r="H54" s="24" t="n">
        <x:v>271195.3009259259</x:v>
      </x:c>
      <x:c r="I54" s="24" t="n">
        <x:v>229446.850401784</x:v>
      </x:c>
      <x:c r="J54" s="24" t="n">
        <x:v>357822.8991760396</x:v>
      </x:c>
      <x:c r="K54" s="6" t="n">
        <x:v>33</x:v>
      </x:c>
      <x:c r="L54" s="6" t="n">
        <x:v>28276</x:v>
      </x:c>
      <x:c r="M54" s="6" t="str">
        <x:v>conditional scenario, not observed savings</x:v>
      </x:c>
    </x:row>
    <x:row r="55" ht="20" customHeight="1">
      <x:c r="A55" s="6" t="str">
        <x:v>spokes</x:v>
      </x:c>
      <x:c r="B55" s="6" t="str">
        <x:v>Birth volumes-20%</x:v>
      </x:c>
      <x:c r="C55" s="6" t="n">
        <x:v>899.1345679012347</x:v>
      </x:c>
      <x:c r="D55" s="6" t="n">
        <x:v>55.608714391015475</x:v>
      </x:c>
      <x:c r="E55" s="24" t="n">
        <x:v>281066.77597492107</x:v>
      </x:c>
      <x:c r="F55" s="24" t="n">
        <x:v>375751.75937221403</x:v>
      </x:c>
      <x:c r="G55" s="24" t="n">
        <x:v>83413.0715865232</x:v>
      </x:c>
      <x:c r="H55" s="24" t="n">
        <x:v>204845.0925925926</x:v>
      </x:c>
      <x:c r="I55" s="24" t="n">
        <x:v>94684.98339729296</x:v>
      </x:c>
      <x:c r="J55" s="24" t="n">
        <x:v>178098.05498381617</x:v>
      </x:c>
      <x:c r="K55" s="6" t="n">
        <x:v>33</x:v>
      </x:c>
      <x:c r="L55" s="6" t="n">
        <x:v>28276</x:v>
      </x:c>
      <x:c r="M55" s="6" t="str">
        <x:v>conditional scenario, not observed savings</x:v>
      </x:c>
    </x:row>
    <x:row r="56" ht="20" customHeight="1">
      <x:c r="A56" s="6" t="str">
        <x:v>spokes</x:v>
      </x:c>
      <x:c r="B56" s="6" t="str">
        <x:v>Birth volumes+20%</x:v>
      </x:c>
      <x:c r="C56" s="6" t="n">
        <x:v>1329.9518518518514</x:v>
      </x:c>
      <x:c r="D56" s="6" t="n">
        <x:v>82.2534416133754</x:v>
      </x:c>
      <x:c r="E56" s="24" t="n">
        <x:v>343378.0722712173</x:v>
      </x:c>
      <x:c r="F56" s="24" t="n">
        <x:v>554518.0485613913</x:v>
      </x:c>
      <x:c r="G56" s="24" t="n">
        <x:v>123380.16242006315</x:v>
      </x:c>
      <x:c r="H56" s="24" t="n">
        <x:v>267156.3888888889</x:v>
      </x:c>
      <x:c r="I56" s="24" t="n">
        <x:v>211139.976290174</x:v>
      </x:c>
      <x:c r="J56" s="24" t="n">
        <x:v>334520.13871023717</x:v>
      </x:c>
      <x:c r="K56" s="6" t="n">
        <x:v>33</x:v>
      </x:c>
      <x:c r="L56" s="6" t="n">
        <x:v>28276</x:v>
      </x:c>
      <x:c r="M56" s="6" t="str">
        <x:v>conditional scenario, not observed savings</x:v>
      </x:c>
    </x:row>
    <x:row r="57" ht="20" customHeight="1">
      <x:c r="A57" s="6" t="str">
        <x:v>spokes</x:v>
      </x:c>
      <x:c r="B57" s="6" t="str">
        <x:v>High shared hub cost</x:v>
      </x:c>
      <x:c r="C57" s="6" t="n">
        <x:v>1114.5432098765434</x:v>
      </x:c>
      <x:c r="D57" s="6" t="n">
        <x:v>68.93107800219543</x:v>
      </x:c>
      <x:c r="E57" s="24" t="n">
        <x:v>477222.4241230693</x:v>
      </x:c>
      <x:c r="F57" s="24" t="n">
        <x:v>465134.9039668027</x:v>
      </x:c>
      <x:c r="G57" s="24" t="n">
        <x:v>103396.61700329318</x:v>
      </x:c>
      <x:c r="H57" s="24" t="n">
        <x:v>401000.74074074073</x:v>
      </x:c>
      <x:c r="I57" s="24" t="n">
        <x:v>-12087.520156266575</x:v>
      </x:c>
      <x:c r="J57" s="24" t="n">
        <x:v>91309.09684702661</x:v>
      </x:c>
      <x:c r="K57" s="6" t="n">
        <x:v>33</x:v>
      </x:c>
      <x:c r="L57" s="6" t="n">
        <x:v>28276</x:v>
      </x:c>
      <x:c r="M57" s="6" t="str">
        <x:v>conditional scenario, not observed savings</x:v>
      </x:c>
    </x:row>
    <x:row r="58" ht="20" customHeight="1">
      <x:c r="A58" s="6" t="str">
        <x:v>spokes</x:v>
      </x:c>
      <x:c r="B58" s="6" t="str">
        <x:v>No new shared hub cost</x:v>
      </x:c>
      <x:c r="C58" s="6" t="n">
        <x:v>1114.5432098765434</x:v>
      </x:c>
      <x:c r="D58" s="6" t="n">
        <x:v>68.93107800219543</x:v>
      </x:c>
      <x:c r="E58" s="24" t="n">
        <x:v>207222.42412306927</x:v>
      </x:c>
      <x:c r="F58" s="24" t="n">
        <x:v>465134.9039668027</x:v>
      </x:c>
      <x:c r="G58" s="24" t="n">
        <x:v>103396.61700329318</x:v>
      </x:c>
      <x:c r="H58" s="24" t="n">
        <x:v>131000.74074074072</x:v>
      </x:c>
      <x:c r="I58" s="24" t="n">
        <x:v>257912.47984373342</x:v>
      </x:c>
      <x:c r="J58" s="24" t="n">
        <x:v>361309.0968470266</x:v>
      </x:c>
      <x:c r="K58" s="6" t="n">
        <x:v>33</x:v>
      </x:c>
      <x:c r="L58" s="6" t="n">
        <x:v>28276</x:v>
      </x:c>
      <x:c r="M58" s="6" t="str">
        <x:v>conditional scenario, not observed savings</x:v>
      </x:c>
    </x:row>
    <x:row r="59" ht="20" customHeight="1">
      <x:c r="A59" s="6" t="str">
        <x:v>spokes</x:v>
      </x:c>
      <x:c r="B59" s="6" t="str">
        <x:v>Discount0%</x:v>
      </x:c>
      <x:c r="C59" s="6" t="n">
        <x:v>1114.5432098765434</x:v>
      </x:c>
      <x:c r="D59" s="6" t="n">
        <x:v>68.93107800219543</x:v>
      </x:c>
      <x:c r="E59" s="24" t="n">
        <x:v>317000.7407407408</x:v>
      </x:c>
      <x:c r="F59" s="24" t="n">
        <x:v>465134.9039668027</x:v>
      </x:c>
      <x:c r="G59" s="24" t="n">
        <x:v>103396.61700329318</x:v>
      </x:c>
      <x:c r="H59" s="24" t="n">
        <x:v>251000.74074074073</x:v>
      </x:c>
      <x:c r="I59" s="24" t="n">
        <x:v>148134.1632260619</x:v>
      </x:c>
      <x:c r="J59" s="24" t="n">
        <x:v>251530.7802293551</x:v>
      </x:c>
      <x:c r="K59" s="6" t="n">
        <x:v>33</x:v>
      </x:c>
      <x:c r="L59" s="6" t="n">
        <x:v>28276</x:v>
      </x:c>
      <x:c r="M59" s="6" t="str">
        <x:v>conditional scenario, not observed savings</x:v>
      </x:c>
    </x:row>
    <x:row r="60" ht="20" customHeight="1">
      <x:c r="A60" s="6" t="str">
        <x:v>spokes</x:v>
      </x:c>
      <x:c r="B60" s="6" t="str">
        <x:v>Discount3%</x:v>
      </x:c>
      <x:c r="C60" s="6" t="n">
        <x:v>1114.5432098765434</x:v>
      </x:c>
      <x:c r="D60" s="6" t="n">
        <x:v>68.93107800219543</x:v>
      </x:c>
      <x:c r="E60" s="24" t="n">
        <x:v>323057.74930293084</x:v>
      </x:c>
      <x:c r="F60" s="24" t="n">
        <x:v>465134.9039668027</x:v>
      </x:c>
      <x:c r="G60" s="24" t="n">
        <x:v>103396.61700329318</x:v>
      </x:c>
      <x:c r="H60" s="24" t="n">
        <x:v>251000.74074074073</x:v>
      </x:c>
      <x:c r="I60" s="24" t="n">
        <x:v>142077.15466387186</x:v>
      </x:c>
      <x:c r="J60" s="24" t="n">
        <x:v>245473.77166716504</x:v>
      </x:c>
      <x:c r="K60" s="6" t="n">
        <x:v>33</x:v>
      </x:c>
      <x:c r="L60" s="6" t="n">
        <x:v>28276</x:v>
      </x:c>
      <x:c r="M60" s="6" t="str">
        <x:v>conditional scenario, not observed savings</x:v>
      </x:c>
    </x:row>
    <x:row r="61" ht="20" customHeight="1">
      <x:c r="A61" s="6" t="str">
        <x:v>spokes</x:v>
      </x:c>
      <x:c r="B61" s="6" t="str">
        <x:v>Air cost +30% versus CPI</x:v>
      </x:c>
      <x:c r="C61" s="6" t="n">
        <x:v>1114.5432098765434</x:v>
      </x:c>
      <x:c r="D61" s="6" t="n">
        <x:v>68.93107800219543</x:v>
      </x:c>
      <x:c r="E61" s="24" t="n">
        <x:v>327222.4241230693</x:v>
      </x:c>
      <x:c r="F61" s="24" t="n">
        <x:v>545274.0626323245</x:v>
      </x:c>
      <x:c r="G61" s="24" t="n">
        <x:v>103396.61700329318</x:v>
      </x:c>
      <x:c r="H61" s="24" t="n">
        <x:v>251000.74074074073</x:v>
      </x:c>
      <x:c r="I61" s="24" t="n">
        <x:v>218051.63850925525</x:v>
      </x:c>
      <x:c r="J61" s="24" t="n">
        <x:v>321448.25551254844</x:v>
      </x:c>
      <x:c r="K61" s="6" t="n">
        <x:v>33</x:v>
      </x:c>
      <x:c r="L61" s="6" t="n">
        <x:v>28276</x:v>
      </x:c>
      <x:c r="M61" s="6" t="str">
        <x:v>conditional scenario, not observed savings</x:v>
      </x:c>
    </x:row>
    <x:row r="62" ht="20" customHeight="1">
      <x:c r="A62" s="6" t="str">
        <x:v>spokes</x:v>
      </x:c>
      <x:c r="B62" s="6" t="str">
        <x:v>2018 assumed air-price year</x:v>
      </x:c>
      <x:c r="C62" s="6" t="n">
        <x:v>1114.5432098765434</x:v>
      </x:c>
      <x:c r="D62" s="6" t="n">
        <x:v>68.93107800219543</x:v>
      </x:c>
      <x:c r="E62" s="24" t="n">
        <x:v>327222.4241230693</x:v>
      </x:c>
      <x:c r="F62" s="24" t="n">
        <x:v>469437.75670480146</x:v>
      </x:c>
      <x:c r="G62" s="24" t="n">
        <x:v>103396.61700329318</x:v>
      </x:c>
      <x:c r="H62" s="24" t="n">
        <x:v>251000.74074074073</x:v>
      </x:c>
      <x:c r="I62" s="24" t="n">
        <x:v>142215.3325817322</x:v>
      </x:c>
      <x:c r="J62" s="24" t="n">
        <x:v>245611.94958502537</x:v>
      </x:c>
      <x:c r="K62" s="6" t="n">
        <x:v>33</x:v>
      </x:c>
      <x:c r="L62" s="6" t="n">
        <x:v>28276</x:v>
      </x:c>
      <x:c r="M62" s="6" t="str">
        <x:v>conditional scenario, not observed savings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c45a259cc90475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0" customHeight="1">
      <x:c r="A1" s="3" t="str">
        <x:v>Equipment life | Panda Vision v4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45" customHeight="1">
      <x:c r="A2" s="7" t="str">
        <x:v>Existing equipment-life parameter tested at 3/5/7 years; other inputs fixed.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4" customHeight="1">
      <x:c r="A4" s="12" t="str">
        <x:v>portfolio</x:v>
      </x:c>
      <x:c r="B4" s="12" t="str">
        <x:v>equipment_life_years</x:v>
      </x:c>
      <x:c r="C4" s="12" t="str">
        <x:v>consultations</x:v>
      </x:c>
      <x:c r="D4" s="12" t="str">
        <x:v>avoided_transfers</x:v>
      </x:c>
      <x:c r="E4" s="12" t="str">
        <x:v>programme_cost</x:v>
      </x:c>
      <x:c r="F4" s="12" t="str">
        <x:v>gross_resource_benefit</x:v>
      </x:c>
      <x:c r="G4" s="12" t="str">
        <x:v>family_benefit</x:v>
      </x:c>
      <x:c r="H4" s="12" t="str">
        <x:v>cash_running_cost</x:v>
      </x:c>
      <x:c r="I4" s="12" t="str">
        <x:v>net_saving</x:v>
      </x:c>
      <x:c r="J4" s="12" t="str">
        <x:v>societal_net_saving</x:v>
      </x:c>
      <x:c r="K4" s="12" t="str">
        <x:v>site_count</x:v>
      </x:c>
      <x:c r="L4" s="12" t="str">
        <x:v>births_2022</x:v>
      </x:c>
      <x:c r="M4" s="12" t="str">
        <x:v>interpretation</x:v>
      </x:c>
    </x:row>
    <x:row r="5" ht="20" customHeight="1">
      <x:c r="A5" s="6" t="str">
        <x:v>pilot</x:v>
      </x:c>
      <x:c r="B5" s="6" t="n">
        <x:v>3</x:v>
      </x:c>
      <x:c r="C5" s="6" t="n">
        <x:v>37.5</x:v>
      </x:c>
      <x:c r="D5" s="6" t="n">
        <x:v>2.319259946295539</x:v>
      </x:c>
      <x:c r="E5" s="24" t="n">
        <x:v>18138.756938937353</x:v>
      </x:c>
      <x:c r="F5" s="24" t="n">
        <x:v>18219.180993859398</x:v>
      </x:c>
      <x:c r="G5" s="24" t="n">
        <x:v>3478.889919443309</x:v>
      </x:c>
      <x:c r="H5" s="24" t="n">
        <x:v>7122.5</x:v>
      </x:c>
      <x:c r="I5" s="24" t="n">
        <x:v>80.42405492204489</x:v>
      </x:c>
      <x:c r="J5" s="24" t="n">
        <x:v>3559.3139743653537</x:v>
      </x:c>
      <x:c r="K5" s="6" t="n">
        <x:v>3</x:v>
      </x:c>
      <x:c r="L5" s="6" t="n">
        <x:v>486</x:v>
      </x:c>
      <x:c r="M5" s="6" t="str">
        <x:v>conditional scenario, not observed savings</x:v>
      </x:c>
    </x:row>
    <x:row r="6" ht="20" customHeight="1">
      <x:c r="A6" s="6" t="str">
        <x:v>pilot</x:v>
      </x:c>
      <x:c r="B6" s="6" t="n">
        <x:v>5</x:v>
      </x:c>
      <x:c r="C6" s="6" t="n">
        <x:v>37.5</x:v>
      </x:c>
      <x:c r="D6" s="6" t="n">
        <x:v>2.319259946295539</x:v>
      </x:c>
      <x:c r="E6" s="24" t="n">
        <x:v>14051.743943848045</x:v>
      </x:c>
      <x:c r="F6" s="24" t="n">
        <x:v>18219.180993859398</x:v>
      </x:c>
      <x:c r="G6" s="24" t="n">
        <x:v>3478.889919443309</x:v>
      </x:c>
      <x:c r="H6" s="24" t="n">
        <x:v>7122.5</x:v>
      </x:c>
      <x:c r="I6" s="24" t="n">
        <x:v>4167.437050011353</x:v>
      </x:c>
      <x:c r="J6" s="24" t="n">
        <x:v>7646.326969454662</x:v>
      </x:c>
      <x:c r="K6" s="6" t="n">
        <x:v>3</x:v>
      </x:c>
      <x:c r="L6" s="6" t="n">
        <x:v>486</x:v>
      </x:c>
      <x:c r="M6" s="6" t="str">
        <x:v>conditional scenario, not observed savings</x:v>
      </x:c>
    </x:row>
    <x:row r="7" ht="20" customHeight="1">
      <x:c r="A7" s="6" t="str">
        <x:v>pilot</x:v>
      </x:c>
      <x:c r="B7" s="6" t="n">
        <x:v>7</x:v>
      </x:c>
      <x:c r="C7" s="6" t="n">
        <x:v>37.5</x:v>
      </x:c>
      <x:c r="D7" s="6" t="n">
        <x:v>2.319259946295539</x:v>
      </x:c>
      <x:c r="E7" s="24" t="n">
        <x:v>12307.09455338512</x:v>
      </x:c>
      <x:c r="F7" s="24" t="n">
        <x:v>18219.180993859398</x:v>
      </x:c>
      <x:c r="G7" s="24" t="n">
        <x:v>3478.889919443309</x:v>
      </x:c>
      <x:c r="H7" s="24" t="n">
        <x:v>7122.5</x:v>
      </x:c>
      <x:c r="I7" s="24" t="n">
        <x:v>5912.086440474277</x:v>
      </x:c>
      <x:c r="J7" s="24" t="n">
        <x:v>9390.976359917586</x:v>
      </x:c>
      <x:c r="K7" s="6" t="n">
        <x:v>3</x:v>
      </x:c>
      <x:c r="L7" s="6" t="n">
        <x:v>486</x:v>
      </x:c>
      <x:c r="M7" s="6" t="str">
        <x:v>conditional scenario, not observed savings</x:v>
      </x:c>
    </x:row>
    <x:row r="8" ht="20" customHeight="1">
      <x:c r="A8" s="6" t="str">
        <x:v>spokes</x:v>
      </x:c>
      <x:c r="B8" s="6" t="n">
        <x:v>3</x:v>
      </x:c>
      <x:c r="C8" s="6" t="n">
        <x:v>1114.5432098765434</x:v>
      </x:c>
      <x:c r="D8" s="6" t="n">
        <x:v>68.93107800219543</x:v>
      </x:c>
      <x:c r="E8" s="24" t="n">
        <x:v>372179.5670690516</x:v>
      </x:c>
      <x:c r="F8" s="24" t="n">
        <x:v>465134.9039668027</x:v>
      </x:c>
      <x:c r="G8" s="24" t="n">
        <x:v>103396.61700329318</x:v>
      </x:c>
      <x:c r="H8" s="24" t="n">
        <x:v>251000.74074074073</x:v>
      </x:c>
      <x:c r="I8" s="24" t="n">
        <x:v>92955.33689775108</x:v>
      </x:c>
      <x:c r="J8" s="24" t="n">
        <x:v>196351.95390104427</x:v>
      </x:c>
      <x:c r="K8" s="6" t="n">
        <x:v>33</x:v>
      </x:c>
      <x:c r="L8" s="6" t="n">
        <x:v>28276</x:v>
      </x:c>
      <x:c r="M8" s="6" t="str">
        <x:v>conditional scenario, not observed savings</x:v>
      </x:c>
    </x:row>
    <x:row r="9" ht="20" customHeight="1">
      <x:c r="A9" s="6" t="str">
        <x:v>spokes</x:v>
      </x:c>
      <x:c r="B9" s="6" t="n">
        <x:v>5</x:v>
      </x:c>
      <x:c r="C9" s="6" t="n">
        <x:v>1114.5432098765434</x:v>
      </x:c>
      <x:c r="D9" s="6" t="n">
        <x:v>68.93107800219543</x:v>
      </x:c>
      <x:c r="E9" s="24" t="n">
        <x:v>327222.4241230693</x:v>
      </x:c>
      <x:c r="F9" s="24" t="n">
        <x:v>465134.9039668027</x:v>
      </x:c>
      <x:c r="G9" s="24" t="n">
        <x:v>103396.61700329318</x:v>
      </x:c>
      <x:c r="H9" s="24" t="n">
        <x:v>251000.74074074073</x:v>
      </x:c>
      <x:c r="I9" s="24" t="n">
        <x:v>137912.47984373342</x:v>
      </x:c>
      <x:c r="J9" s="24" t="n">
        <x:v>241309.0968470266</x:v>
      </x:c>
      <x:c r="K9" s="6" t="n">
        <x:v>33</x:v>
      </x:c>
      <x:c r="L9" s="6" t="n">
        <x:v>28276</x:v>
      </x:c>
      <x:c r="M9" s="6" t="str">
        <x:v>conditional scenario, not observed savings</x:v>
      </x:c>
    </x:row>
    <x:row r="10" ht="20" customHeight="1">
      <x:c r="A10" s="6" t="str">
        <x:v>spokes</x:v>
      </x:c>
      <x:c r="B10" s="6" t="n">
        <x:v>7</x:v>
      </x:c>
      <x:c r="C10" s="6" t="n">
        <x:v>1114.5432098765434</x:v>
      </x:c>
      <x:c r="D10" s="6" t="n">
        <x:v>68.93107800219543</x:v>
      </x:c>
      <x:c r="E10" s="24" t="n">
        <x:v>308031.280827977</x:v>
      </x:c>
      <x:c r="F10" s="24" t="n">
        <x:v>465134.9039668027</x:v>
      </x:c>
      <x:c r="G10" s="24" t="n">
        <x:v>103396.61700329318</x:v>
      </x:c>
      <x:c r="H10" s="24" t="n">
        <x:v>251000.74074074073</x:v>
      </x:c>
      <x:c r="I10" s="24" t="n">
        <x:v>157103.6231388257</x:v>
      </x:c>
      <x:c r="J10" s="24" t="n">
        <x:v>260500.24014211888</x:v>
      </x:c>
      <x:c r="K10" s="6" t="n">
        <x:v>33</x:v>
      </x:c>
      <x:c r="L10" s="6" t="n">
        <x:v>28276</x:v>
      </x:c>
      <x:c r="M10" s="6" t="str">
        <x:v>conditional scenario, not observed savings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154c50264934768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3" t="str">
        <x:v>Break even | Panda Vision v4</x:v>
      </x:c>
      <x:c r="B1" s="3"/>
      <x:c r="C1" s="3"/>
      <x:c r="D1" s="3"/>
      <x:c r="E1" s="3"/>
    </x:row>
    <x:row r="2" ht="45" customHeight="1">
      <x:c r="A2" s="7" t="str">
        <x:v>Conditional maximum transfer odds ratio for resource break-even, not a causal effect or care recommendation.</x:v>
      </x:c>
      <x:c r="B2" s="7"/>
      <x:c r="C2" s="7"/>
      <x:c r="D2" s="7"/>
      <x:c r="E2" s="7"/>
    </x:row>
    <x:row r="4" ht="34" customHeight="1">
      <x:c r="A4" s="12" t="str">
        <x:v>portfolio</x:v>
      </x:c>
      <x:c r="B4" s="12" t="str">
        <x:v>calls_per_pilot_site</x:v>
      </x:c>
      <x:c r="C4" s="12" t="str">
        <x:v>avoidable_fraction</x:v>
      </x:c>
      <x:c r="D4" s="12" t="str">
        <x:v>break_even_transfer_odds_ratio</x:v>
      </x:c>
      <x:c r="E4" s="12" t="str">
        <x:v>interpretation</x:v>
      </x:c>
    </x:row>
    <x:row r="5" ht="20" customHeight="1">
      <x:c r="A5" s="6" t="str">
        <x:v>pilot</x:v>
      </x:c>
      <x:c r="B5" s="6" t="n">
        <x:v>10</x:v>
      </x:c>
      <x:c r="C5" s="22" t="n">
        <x:v>0.25</x:v>
      </x:c>
      <x:c r="D5" s="6" t="n">
        <x:v>0.5617136567244929</x:v>
      </x:c>
      <x:c r="E5" s="6" t="str">
        <x:v>Conditional threshold; other parameters fixed; not a treatment recommendation</x:v>
      </x:c>
    </x:row>
    <x:row r="6" ht="20" customHeight="1">
      <x:c r="A6" s="6" t="str">
        <x:v>pilot</x:v>
      </x:c>
      <x:c r="B6" s="6" t="n">
        <x:v>10</x:v>
      </x:c>
      <x:c r="C6" s="22" t="n">
        <x:v>0.5</x:v>
      </x:c>
      <x:c r="D6" s="6" t="n">
        <x:v>0.7122037868708246</x:v>
      </x:c>
      <x:c r="E6" s="6" t="str">
        <x:v>Conditional threshold; other parameters fixed; not a treatment recommendation</x:v>
      </x:c>
    </x:row>
    <x:row r="7" ht="20" customHeight="1">
      <x:c r="A7" s="6" t="str">
        <x:v>pilot</x:v>
      </x:c>
      <x:c r="B7" s="6" t="n">
        <x:v>10</x:v>
      </x:c>
      <x:c r="C7" s="22" t="n">
        <x:v>1</x:v>
      </x:c>
      <x:c r="D7" s="6" t="n">
        <x:v>0.8296137862793402</x:v>
      </x:c>
      <x:c r="E7" s="6" t="str">
        <x:v>Conditional threshold; other parameters fixed; not a treatment recommendation</x:v>
      </x:c>
    </x:row>
    <x:row r="8" ht="20" customHeight="1">
      <x:c r="A8" s="6" t="str">
        <x:v>pilot</x:v>
      </x:c>
      <x:c r="B8" s="6" t="n">
        <x:v>12.5</x:v>
      </x:c>
      <x:c r="C8" s="22" t="n">
        <x:v>0.25</x:v>
      </x:c>
      <x:c r="D8" s="6" t="n">
        <x:v>0.6197231879338909</x:v>
      </x:c>
      <x:c r="E8" s="6" t="str">
        <x:v>Conditional threshold; other parameters fixed; not a treatment recommendation</x:v>
      </x:c>
    </x:row>
    <x:row r="9" ht="20" customHeight="1">
      <x:c r="A9" s="6" t="str">
        <x:v>pilot</x:v>
      </x:c>
      <x:c r="B9" s="6" t="n">
        <x:v>12.5</x:v>
      </x:c>
      <x:c r="C9" s="22" t="n">
        <x:v>0.5</x:v>
      </x:c>
      <x:c r="D9" s="6" t="n">
        <x:v>0.753906466387247</x:v>
      </x:c>
      <x:c r="E9" s="6" t="str">
        <x:v>Conditional threshold; other parameters fixed; not a treatment recommendation</x:v>
      </x:c>
    </x:row>
    <x:row r="10" ht="20" customHeight="1">
      <x:c r="A10" s="6" t="str">
        <x:v>pilot</x:v>
      </x:c>
      <x:c r="B10" s="6" t="n">
        <x:v>12.5</x:v>
      </x:c>
      <x:c r="C10" s="22" t="n">
        <x:v>1</x:v>
      </x:c>
      <x:c r="D10" s="6" t="n">
        <x:v>0.8558690521866632</x:v>
      </x:c>
      <x:c r="E10" s="6" t="str">
        <x:v>Conditional threshold; other parameters fixed; not a treatment recommendation</x:v>
      </x:c>
    </x:row>
    <x:row r="11" ht="20" customHeight="1">
      <x:c r="A11" s="6" t="str">
        <x:v>pilot</x:v>
      </x:c>
      <x:c r="B11" s="6" t="n">
        <x:v>15</x:v>
      </x:c>
      <x:c r="C11" s="22" t="n">
        <x:v>0.25</x:v>
      </x:c>
      <x:c r="D11" s="6" t="n">
        <x:v>0.6611933264835821</x:v>
      </x:c>
      <x:c r="E11" s="6" t="str">
        <x:v>Conditional threshold; other parameters fixed; not a treatment recommendation</x:v>
      </x:c>
    </x:row>
    <x:row r="12" ht="20" customHeight="1">
      <x:c r="A12" s="6" t="str">
        <x:v>pilot</x:v>
      </x:c>
      <x:c r="B12" s="6" t="n">
        <x:v>15</x:v>
      </x:c>
      <x:c r="C12" s="22" t="n">
        <x:v>0.5</x:v>
      </x:c>
      <x:c r="D12" s="6" t="n">
        <x:v>0.7829566440235964</x:v>
      </x:c>
      <x:c r="E12" s="6" t="str">
        <x:v>Conditional threshold; other parameters fixed; not a treatment recommendation</x:v>
      </x:c>
    </x:row>
    <x:row r="13" ht="20" customHeight="1">
      <x:c r="A13" s="6" t="str">
        <x:v>pilot</x:v>
      </x:c>
      <x:c r="B13" s="6" t="n">
        <x:v>15</x:v>
      </x:c>
      <x:c r="C13" s="22" t="n">
        <x:v>1</x:v>
      </x:c>
      <x:c r="D13" s="6" t="n">
        <x:v>0.8738198172429998</x:v>
      </x:c>
      <x:c r="E13" s="6" t="str">
        <x:v>Conditional threshold; other parameters fixed; not a treatment recommendation</x:v>
      </x:c>
    </x:row>
    <x:row r="14" ht="20" customHeight="1">
      <x:c r="A14" s="6" t="str">
        <x:v>spokes</x:v>
      </x:c>
      <x:c r="B14" s="6" t="n">
        <x:v>10</x:v>
      </x:c>
      <x:c r="C14" s="22" t="n">
        <x:v>0.25</x:v>
      </x:c>
      <x:c r="D14" s="6" t="n">
        <x:v>0.6341734973741939</x:v>
      </x:c>
      <x:c r="E14" s="6" t="str">
        <x:v>Conditional threshold; other parameters fixed; not a treatment recommendation</x:v>
      </x:c>
    </x:row>
    <x:row r="15" ht="20" customHeight="1">
      <x:c r="A15" s="6" t="str">
        <x:v>spokes</x:v>
      </x:c>
      <x:c r="B15" s="6" t="n">
        <x:v>10</x:v>
      </x:c>
      <x:c r="C15" s="22" t="n">
        <x:v>0.5</x:v>
      </x:c>
      <x:c r="D15" s="6" t="n">
        <x:v>0.7587608069333547</x:v>
      </x:c>
      <x:c r="E15" s="6" t="str">
        <x:v>Conditional threshold; other parameters fixed; not a treatment recommendation</x:v>
      </x:c>
    </x:row>
    <x:row r="16" ht="20" customHeight="1">
      <x:c r="A16" s="6" t="str">
        <x:v>spokes</x:v>
      </x:c>
      <x:c r="B16" s="6" t="n">
        <x:v>10</x:v>
      </x:c>
      <x:c r="C16" s="22" t="n">
        <x:v>1</x:v>
      </x:c>
      <x:c r="D16" s="6" t="n">
        <x:v>0.8566307186196154</x:v>
      </x:c>
      <x:c r="E16" s="6" t="str">
        <x:v>Conditional threshold; other parameters fixed; not a treatment recommendation</x:v>
      </x:c>
    </x:row>
    <x:row r="17" ht="20" customHeight="1">
      <x:c r="A17" s="6" t="str">
        <x:v>spokes</x:v>
      </x:c>
      <x:c r="B17" s="6" t="n">
        <x:v>12.5</x:v>
      </x:c>
      <x:c r="C17" s="22" t="n">
        <x:v>0.25</x:v>
      </x:c>
      <x:c r="D17" s="6" t="n">
        <x:v>0.6540612644616468</x:v>
      </x:c>
      <x:c r="E17" s="6" t="str">
        <x:v>Conditional threshold; other parameters fixed; not a treatment recommendation</x:v>
      </x:c>
    </x:row>
    <x:row r="18" ht="20" customHeight="1">
      <x:c r="A18" s="6" t="str">
        <x:v>spokes</x:v>
      </x:c>
      <x:c r="B18" s="6" t="n">
        <x:v>12.5</x:v>
      </x:c>
      <x:c r="C18" s="22" t="n">
        <x:v>0.5</x:v>
      </x:c>
      <x:c r="D18" s="6" t="n">
        <x:v>0.7729361721816563</x:v>
      </x:c>
      <x:c r="E18" s="6" t="str">
        <x:v>Conditional threshold; other parameters fixed; not a treatment recommendation</x:v>
      </x:c>
    </x:row>
    <x:row r="19" ht="20" customHeight="1">
      <x:c r="A19" s="6" t="str">
        <x:v>spokes</x:v>
      </x:c>
      <x:c r="B19" s="6" t="n">
        <x:v>12.5</x:v>
      </x:c>
      <x:c r="C19" s="22" t="n">
        <x:v>1</x:v>
      </x:c>
      <x:c r="D19" s="6" t="n">
        <x:v>0.8655311764006555</x:v>
      </x:c>
      <x:c r="E19" s="6" t="str">
        <x:v>Conditional threshold; other parameters fixed; not a treatment recommendation</x:v>
      </x:c>
    </x:row>
    <x:row r="20" ht="20" customHeight="1">
      <x:c r="A20" s="6" t="str">
        <x:v>spokes</x:v>
      </x:c>
      <x:c r="B20" s="6" t="n">
        <x:v>15</x:v>
      </x:c>
      <x:c r="C20" s="22" t="n">
        <x:v>0.25</x:v>
      </x:c>
      <x:c r="D20" s="6" t="n">
        <x:v>0.6898720311041715</x:v>
      </x:c>
      <x:c r="E20" s="6" t="str">
        <x:v>Conditional threshold; other parameters fixed; not a treatment recommendation</x:v>
      </x:c>
    </x:row>
    <x:row r="21" ht="20" customHeight="1">
      <x:c r="A21" s="6" t="str">
        <x:v>spokes</x:v>
      </x:c>
      <x:c r="B21" s="6" t="n">
        <x:v>15</x:v>
      </x:c>
      <x:c r="C21" s="22" t="n">
        <x:v>0.5</x:v>
      </x:c>
      <x:c r="D21" s="6" t="n">
        <x:v>0.798118918615965</x:v>
      </x:c>
      <x:c r="E21" s="6" t="str">
        <x:v>Conditional threshold; other parameters fixed; not a treatment recommendation</x:v>
      </x:c>
    </x:row>
    <x:row r="22" ht="20" customHeight="1">
      <x:c r="A22" s="6" t="str">
        <x:v>spokes</x:v>
      </x:c>
      <x:c r="B22" s="6" t="n">
        <x:v>15</x:v>
      </x:c>
      <x:c r="C22" s="22" t="n">
        <x:v>1</x:v>
      </x:c>
      <x:c r="D22" s="6" t="n">
        <x:v>0.8811857688122151</x:v>
      </x:c>
      <x:c r="E22" s="6" t="str">
        <x:v>Conditional threshold; other parameters fixed; not a treatment recommendation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05e1544d840409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3" t="str">
        <x:v>MC precision | Panda Vision v4</x:v>
      </x:c>
      <x:c r="B1" s="3"/>
      <x:c r="C1" s="3"/>
      <x:c r="D1" s="3"/>
      <x:c r="E1" s="3"/>
      <x:c r="F1" s="3"/>
    </x:row>
    <x:row r="2" ht="45" customHeight="1">
      <x:c r="A2" s="7" t="str">
        <x:v>Nested prefixes overlap. MC error does not represent clinical uncertainty.</x:v>
      </x:c>
      <x:c r="B2" s="7"/>
      <x:c r="C2" s="7"/>
      <x:c r="D2" s="7"/>
      <x:c r="E2" s="7"/>
      <x:c r="F2" s="7"/>
    </x:row>
    <x:row r="4" ht="34" customHeight="1">
      <x:c r="A4" s="12" t="str">
        <x:v>portfolio</x:v>
      </x:c>
      <x:c r="B4" s="12" t="str">
        <x:v>draws</x:v>
      </x:c>
      <x:c r="C4" s="12" t="str">
        <x:v>p_saving</x:v>
      </x:c>
      <x:c r="D4" s="12" t="str">
        <x:v>mcse_probability</x:v>
      </x:c>
      <x:c r="E4" s="12" t="str">
        <x:v>mean_net_saving</x:v>
      </x:c>
      <x:c r="F4" s="12" t="str">
        <x:v>mcse_mean</x:v>
      </x:c>
    </x:row>
    <x:row r="5" ht="20" customHeight="1">
      <x:c r="A5" s="6" t="str">
        <x:v>pilot</x:v>
      </x:c>
      <x:c r="B5" s="6" t="n">
        <x:v>2000</x:v>
      </x:c>
      <x:c r="C5" s="22" t="n">
        <x:v>0.4675</x:v>
      </x:c>
      <x:c r="D5" s="22" t="n">
        <x:v>0.011156696419639641</x:v>
      </x:c>
      <x:c r="E5" s="24" t="n">
        <x:v>3142.7564672971603</x:v>
      </x:c>
      <x:c r="F5" s="6" t="n">
        <x:v>587.6927965654659</x:v>
      </x:c>
    </x:row>
    <x:row r="6" ht="20" customHeight="1">
      <x:c r="A6" s="6" t="str">
        <x:v>pilot</x:v>
      </x:c>
      <x:c r="B6" s="6" t="n">
        <x:v>5000</x:v>
      </x:c>
      <x:c r="C6" s="22" t="n">
        <x:v>0.4618</x:v>
      </x:c>
      <x:c r="D6" s="22" t="n">
        <x:v>0.007050400839668621</x:v>
      </x:c>
      <x:c r="E6" s="24" t="n">
        <x:v>2537.983052096638</x:v>
      </x:c>
      <x:c r="F6" s="6" t="n">
        <x:v>366.77664431742005</x:v>
      </x:c>
    </x:row>
    <x:row r="7" ht="20" customHeight="1">
      <x:c r="A7" s="6" t="str">
        <x:v>pilot</x:v>
      </x:c>
      <x:c r="B7" s="6" t="n">
        <x:v>10000</x:v>
      </x:c>
      <x:c r="C7" s="22" t="n">
        <x:v>0.465</x:v>
      </x:c>
      <x:c r="D7" s="22" t="n">
        <x:v>0.004987734956871706</x:v>
      </x:c>
      <x:c r="E7" s="24" t="n">
        <x:v>2701.1704207128555</x:v>
      </x:c>
      <x:c r="F7" s="6" t="n">
        <x:v>263.1132706790313</x:v>
      </x:c>
    </x:row>
    <x:row r="8" ht="20" customHeight="1">
      <x:c r="A8" s="6" t="str">
        <x:v>pilot</x:v>
      </x:c>
      <x:c r="B8" s="6" t="n">
        <x:v>20000</x:v>
      </x:c>
      <x:c r="C8" s="22" t="n">
        <x:v>0.46</x:v>
      </x:c>
      <x:c r="D8" s="22" t="n">
        <x:v>0.0035242020373412192</x:v>
      </x:c>
      <x:c r="E8" s="24" t="n">
        <x:v>2427.877520194087</x:v>
      </x:c>
      <x:c r="F8" s="6" t="n">
        <x:v>186.20213836965743</x:v>
      </x:c>
    </x:row>
    <x:row r="9" ht="20" customHeight="1">
      <x:c r="A9" s="6" t="str">
        <x:v>spokes</x:v>
      </x:c>
      <x:c r="B9" s="6" t="n">
        <x:v>2000</x:v>
      </x:c>
      <x:c r="C9" s="22" t="n">
        <x:v>0.518</x:v>
      </x:c>
      <x:c r="D9" s="22" t="n">
        <x:v>0.011173092678394824</x:v>
      </x:c>
      <x:c r="E9" s="24" t="n">
        <x:v>156563.04540130528</x:v>
      </x:c>
      <x:c r="F9" s="6" t="n">
        <x:v>15539.569751323654</x:v>
      </x:c>
    </x:row>
    <x:row r="10" ht="20" customHeight="1">
      <x:c r="A10" s="6" t="str">
        <x:v>spokes</x:v>
      </x:c>
      <x:c r="B10" s="6" t="n">
        <x:v>5000</x:v>
      </x:c>
      <x:c r="C10" s="22" t="n">
        <x:v>0.5132</x:v>
      </x:c>
      <x:c r="D10" s="22" t="n">
        <x:v>0.0070686032566554475</x:v>
      </x:c>
      <x:c r="E10" s="24" t="n">
        <x:v>138754.18619042088</x:v>
      </x:c>
      <x:c r="F10" s="6" t="n">
        <x:v>9636.376303895977</x:v>
      </x:c>
    </x:row>
    <x:row r="11" ht="20" customHeight="1">
      <x:c r="A11" s="6" t="str">
        <x:v>spokes</x:v>
      </x:c>
      <x:c r="B11" s="6" t="n">
        <x:v>10000</x:v>
      </x:c>
      <x:c r="C11" s="22" t="n">
        <x:v>0.5122</x:v>
      </x:c>
      <x:c r="D11" s="22" t="n">
        <x:v>0.004998511378400574</x:v>
      </x:c>
      <x:c r="E11" s="24" t="n">
        <x:v>143537.95392219332</x:v>
      </x:c>
      <x:c r="F11" s="6" t="n">
        <x:v>6910.183607259345</x:v>
      </x:c>
    </x:row>
    <x:row r="12" ht="20" customHeight="1">
      <x:c r="A12" s="6" t="str">
        <x:v>spokes</x:v>
      </x:c>
      <x:c r="B12" s="6" t="n">
        <x:v>20000</x:v>
      </x:c>
      <x:c r="C12" s="22" t="n">
        <x:v>0.50665</x:v>
      </x:c>
      <x:c r="D12" s="22" t="n">
        <x:v>0.0035352211918068155</x:v>
      </x:c>
      <x:c r="E12" s="24" t="n">
        <x:v>135429.0789307176</x:v>
      </x:c>
      <x:c r="F12" s="6" t="n">
        <x:v>4881.743918481119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a62b998cfee4045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3" t="str">
        <x:v>Seed checks | Panda Vision v4</x:v>
      </x:c>
      <x:c r="B1" s="3"/>
      <x:c r="C1" s="3"/>
      <x:c r="D1" s="3"/>
      <x:c r="E1" s="3"/>
    </x:row>
    <x:row r="2" ht="45" customHeight="1">
      <x:c r="A2" s="7" t="str">
        <x:v>Six fresh 20,000-draw reruns; identical priors, independent seeds.</x:v>
      </x:c>
      <x:c r="B2" s="7"/>
      <x:c r="C2" s="7"/>
      <x:c r="D2" s="7"/>
      <x:c r="E2" s="7"/>
    </x:row>
    <x:row r="4" ht="34" customHeight="1">
      <x:c r="A4" s="12" t="str">
        <x:v>portfolio</x:v>
      </x:c>
      <x:c r="B4" s="12" t="str">
        <x:v>seed</x:v>
      </x:c>
      <x:c r="C4" s="12" t="str">
        <x:v>draws</x:v>
      </x:c>
      <x:c r="D4" s="12" t="str">
        <x:v>p_saving</x:v>
      </x:c>
      <x:c r="E4" s="12" t="str">
        <x:v>mean_net_saving</x:v>
      </x:c>
    </x:row>
    <x:row r="5" ht="20" customHeight="1">
      <x:c r="A5" s="6" t="str">
        <x:v>pilot</x:v>
      </x:c>
      <x:c r="B5" s="6" t="n">
        <x:v>20261028</x:v>
      </x:c>
      <x:c r="C5" s="6" t="n">
        <x:v>20000</x:v>
      </x:c>
      <x:c r="D5" s="22" t="n">
        <x:v>0.4593</x:v>
      </x:c>
      <x:c r="E5" s="24" t="n">
        <x:v>2588.4675424040092</x:v>
      </x:c>
    </x:row>
    <x:row r="6" ht="20" customHeight="1">
      <x:c r="A6" s="6" t="str">
        <x:v>pilot</x:v>
      </x:c>
      <x:c r="B6" s="6" t="n">
        <x:v>20261029</x:v>
      </x:c>
      <x:c r="C6" s="6" t="n">
        <x:v>20000</x:v>
      </x:c>
      <x:c r="D6" s="22" t="n">
        <x:v>0.45945</x:v>
      </x:c>
      <x:c r="E6" s="24" t="n">
        <x:v>2499.520278516445</x:v>
      </x:c>
    </x:row>
    <x:row r="7" ht="20" customHeight="1">
      <x:c r="A7" s="6" t="str">
        <x:v>pilot</x:v>
      </x:c>
      <x:c r="B7" s="6" t="n">
        <x:v>20261030</x:v>
      </x:c>
      <x:c r="C7" s="6" t="n">
        <x:v>20000</x:v>
      </x:c>
      <x:c r="D7" s="22" t="n">
        <x:v>0.45985</x:v>
      </x:c>
      <x:c r="E7" s="24" t="n">
        <x:v>2447.226617062579</x:v>
      </x:c>
    </x:row>
    <x:row r="8" ht="20" customHeight="1">
      <x:c r="A8" s="6" t="str">
        <x:v>spokes</x:v>
      </x:c>
      <x:c r="B8" s="6" t="n">
        <x:v>20261028</x:v>
      </x:c>
      <x:c r="C8" s="6" t="n">
        <x:v>20000</x:v>
      </x:c>
      <x:c r="D8" s="22" t="n">
        <x:v>0.511</x:v>
      </x:c>
      <x:c r="E8" s="24" t="n">
        <x:v>140326.49103766427</x:v>
      </x:c>
    </x:row>
    <x:row r="9" ht="20" customHeight="1">
      <x:c r="A9" s="6" t="str">
        <x:v>spokes</x:v>
      </x:c>
      <x:c r="B9" s="6" t="n">
        <x:v>20261029</x:v>
      </x:c>
      <x:c r="C9" s="6" t="n">
        <x:v>20000</x:v>
      </x:c>
      <x:c r="D9" s="22" t="n">
        <x:v>0.5075</x:v>
      </x:c>
      <x:c r="E9" s="24" t="n">
        <x:v>138180.63454355305</x:v>
      </x:c>
    </x:row>
    <x:row r="10" ht="20" customHeight="1">
      <x:c r="A10" s="6" t="str">
        <x:v>spokes</x:v>
      </x:c>
      <x:c r="B10" s="6" t="n">
        <x:v>20261030</x:v>
      </x:c>
      <x:c r="C10" s="6" t="n">
        <x:v>20000</x:v>
      </x:c>
      <x:c r="D10" s="22" t="n">
        <x:v>0.50625</x:v>
      </x:c>
      <x:c r="E10" s="24" t="n">
        <x:v>136392.22357816773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97d472d4c0640d4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0" customHeight="1">
      <x:c r="A1" s="3" t="str">
        <x:v>Pilot budget | Panda Vision v4</x:v>
      </x:c>
      <x:c r="B1" s="3"/>
      <x:c r="C1" s="3"/>
      <x:c r="D1" s="3"/>
    </x:row>
    <x:row r="2" ht="45" customHeight="1">
      <x:c r="A2" s="7" t="str">
        <x:v>Cash expenditure includes establishment capital in year1, no inflation forecast.</x:v>
      </x:c>
      <x:c r="B2" s="7"/>
      <x:c r="C2" s="7"/>
      <x:c r="D2" s="7"/>
    </x:row>
    <x:row r="4" ht="34" customHeight="1">
      <x:c r="A4" s="12" t="str">
        <x:v>year</x:v>
      </x:c>
      <x:c r="B4" s="12" t="str">
        <x:v>cash_expenditure</x:v>
      </x:c>
      <x:c r="C4" s="12" t="str">
        <x:v>capital</x:v>
      </x:c>
      <x:c r="D4" s="12" t="str">
        <x:v>resource_net_saving_excluding_funding</x:v>
      </x:c>
    </x:row>
    <x:row r="5" ht="20" customHeight="1">
      <x:c r="A5" s="6" t="n">
        <x:v>1</x:v>
      </x:c>
      <x:c r="B5" s="24" t="n">
        <x:v>37122.5</x:v>
      </x:c>
      <x:c r="C5" s="24" t="n">
        <x:v>30000</x:v>
      </x:c>
      <x:c r="D5" s="24" t="n">
        <x:v>-18903.319006140602</x:v>
      </x:c>
    </x:row>
    <x:row r="6" ht="20" customHeight="1">
      <x:c r="A6" s="6" t="n">
        <x:v>2</x:v>
      </x:c>
      <x:c r="B6" s="24" t="n">
        <x:v>7122.5</x:v>
      </x:c>
      <x:c r="C6" s="24" t="n">
        <x:v>0</x:v>
      </x:c>
      <x:c r="D6" s="24" t="n">
        <x:v>11096.680993859398</x:v>
      </x:c>
    </x:row>
    <x:row r="7" ht="20" customHeight="1">
      <x:c r="A7" s="6" t="n">
        <x:v>3</x:v>
      </x:c>
      <x:c r="B7" s="24" t="n">
        <x:v>7122.5</x:v>
      </x:c>
      <x:c r="C7" s="24" t="n">
        <x:v>0</x:v>
      </x:c>
      <x:c r="D7" s="24" t="n">
        <x:v>11096.680993859398</x:v>
      </x:c>
    </x:row>
    <x:row r="8" ht="20" customHeight="1">
      <x:c r="A8" s="6" t="n">
        <x:v>4</x:v>
      </x:c>
      <x:c r="B8" s="24" t="n">
        <x:v>7122.5</x:v>
      </x:c>
      <x:c r="C8" s="24" t="n">
        <x:v>0</x:v>
      </x:c>
      <x:c r="D8" s="24" t="n">
        <x:v>11096.680993859398</x:v>
      </x:c>
    </x:row>
    <x:row r="9" ht="20" customHeight="1">
      <x:c r="A9" s="6" t="n">
        <x:v>5</x:v>
      </x:c>
      <x:c r="B9" s="24" t="n">
        <x:v>7122.5</x:v>
      </x:c>
      <x:c r="C9" s="24" t="n">
        <x:v>0</x:v>
      </x:c>
      <x:c r="D9" s="24" t="n">
        <x:v>11096.680993859398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909d3c73fb842ca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0" customHeight="1">
      <x:c r="A1" s="3" t="str">
        <x:v>State budget | Panda Vision v4</x:v>
      </x:c>
      <x:c r="B1" s="3"/>
      <x:c r="C1" s="3"/>
      <x:c r="D1" s="3"/>
    </x:row>
    <x:row r="2" ht="45" customHeight="1">
      <x:c r="A2" s="7" t="str">
        <x:v>Illustrative 33-site public scenario; cash and resource ledgers differ.</x:v>
      </x:c>
      <x:c r="B2" s="7"/>
      <x:c r="C2" s="7"/>
      <x:c r="D2" s="7"/>
    </x:row>
    <x:row r="4" ht="34" customHeight="1">
      <x:c r="A4" s="12" t="str">
        <x:v>year</x:v>
      </x:c>
      <x:c r="B4" s="12" t="str">
        <x:v>cash_expenditure</x:v>
      </x:c>
      <x:c r="C4" s="12" t="str">
        <x:v>capital</x:v>
      </x:c>
      <x:c r="D4" s="12" t="str">
        <x:v>resource_net_saving_excluding_funding</x:v>
      </x:c>
    </x:row>
    <x:row r="5" ht="20" customHeight="1">
      <x:c r="A5" s="6" t="n">
        <x:v>1</x:v>
      </x:c>
      <x:c r="B5" s="24" t="n">
        <x:v>581000.7407407407</x:v>
      </x:c>
      <x:c r="C5" s="24" t="n">
        <x:v>330000</x:v>
      </x:c>
      <x:c r="D5" s="24" t="n">
        <x:v>-115865.83677393798</x:v>
      </x:c>
    </x:row>
    <x:row r="6" ht="20" customHeight="1">
      <x:c r="A6" s="6" t="n">
        <x:v>2</x:v>
      </x:c>
      <x:c r="B6" s="24" t="n">
        <x:v>251000.74074074073</x:v>
      </x:c>
      <x:c r="C6" s="24" t="n">
        <x:v>0</x:v>
      </x:c>
      <x:c r="D6" s="24" t="n">
        <x:v>214134.16322606197</x:v>
      </x:c>
    </x:row>
    <x:row r="7" ht="20" customHeight="1">
      <x:c r="A7" s="6" t="n">
        <x:v>3</x:v>
      </x:c>
      <x:c r="B7" s="24" t="n">
        <x:v>251000.74074074073</x:v>
      </x:c>
      <x:c r="C7" s="24" t="n">
        <x:v>0</x:v>
      </x:c>
      <x:c r="D7" s="24" t="n">
        <x:v>214134.16322606197</x:v>
      </x:c>
    </x:row>
    <x:row r="8" ht="20" customHeight="1">
      <x:c r="A8" s="6" t="n">
        <x:v>4</x:v>
      </x:c>
      <x:c r="B8" s="24" t="n">
        <x:v>251000.74074074073</x:v>
      </x:c>
      <x:c r="C8" s="24" t="n">
        <x:v>0</x:v>
      </x:c>
      <x:c r="D8" s="24" t="n">
        <x:v>214134.16322606197</x:v>
      </x:c>
    </x:row>
    <x:row r="9" ht="20" customHeight="1">
      <x:c r="A9" s="6" t="n">
        <x:v>5</x:v>
      </x:c>
      <x:c r="B9" s="24" t="n">
        <x:v>251000.74074074073</x:v>
      </x:c>
      <x:c r="C9" s="24" t="n">
        <x:v>0</x:v>
      </x:c>
      <x:c r="D9" s="24" t="n">
        <x:v>214134.16322606197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0d84c73968d4dbc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4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0" customHeight="1">
      <x:c r="A1" s="3" t="str">
        <x:v>Sites | Panda Vision v4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5" customHeight="1">
      <x:c r="A2" s="7" t="str">
        <x:v>Historical 2022 birth roster, not a current 2026 capability list. Standalone site cost excludes shared-hub allocation.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2" t="str">
        <x:v>name</x:v>
      </x:c>
      <x:c r="B4" s="12" t="str">
        <x:v>births</x:v>
      </x:c>
      <x:c r="C4" s="12" t="str">
        <x:v>year</x:v>
      </x:c>
      <x:c r="D4" s="12" t="str">
        <x:v>group</x:v>
      </x:c>
      <x:c r="E4" s="12" t="str">
        <x:v>geography</x:v>
      </x:c>
      <x:c r="F4" s="12" t="str">
        <x:v>pilot</x:v>
      </x:c>
      <x:c r="G4" s="12" t="str">
        <x:v>projected_calls</x:v>
      </x:c>
      <x:c r="H4" s="12" t="str">
        <x:v>allocated_programme_cost</x:v>
      </x:c>
      <x:c r="I4" s="12" t="str">
        <x:v>net_saving_before_shared_hub_cost</x:v>
      </x:c>
      <x:c r="J4" s="12" t="str">
        <x:v>primary_spoke_portfolio</x:v>
      </x:c>
      <x:c r="K4" s="12" t="str">
        <x:v>current_capability_verified</x:v>
      </x:c>
    </x:row>
    <x:row r="5" ht="20" customHeight="1">
      <x:c r="A5" s="6" t="str">
        <x:v>Atherton</x:v>
      </x:c>
      <x:c r="B5" s="6" t="n">
        <x:v>157</x:v>
      </x:c>
      <x:c r="C5" s="6" t="n">
        <x:v>2022</x:v>
      </x:c>
      <x:c r="D5" s="6" t="str">
        <x:v>rural_proxy</x:v>
      </x:c>
      <x:c r="E5" s="6" t="str">
        <x:v>regional</x:v>
      </x:c>
      <x:c r="F5" s="28" t="b">
        <x:v>1</x:v>
      </x:c>
      <x:c r="G5" s="6" t="n">
        <x:v>12.5</x:v>
      </x:c>
      <x:c r="H5" s="24" t="n">
        <x:v>4683.914647949348</x:v>
      </x:c>
      <x:c r="I5" s="24" t="n">
        <x:v>1389.1456833371176</x:v>
      </x:c>
      <x:c r="J5" s="28" t="b">
        <x:v>1</x:v>
      </x:c>
      <x:c r="K5" s="28" t="b">
        <x:v>0</x:v>
      </x:c>
    </x:row>
    <x:row r="6" ht="20" customHeight="1">
      <x:c r="A6" s="6" t="str">
        <x:v>Ayr</x:v>
      </x:c>
      <x:c r="B6" s="6" t="n">
        <x:v>84</x:v>
      </x:c>
      <x:c r="C6" s="6" t="n">
        <x:v>2022</x:v>
      </x:c>
      <x:c r="D6" s="6" t="str">
        <x:v>rural_proxy</x:v>
      </x:c>
      <x:c r="E6" s="6" t="str">
        <x:v>regional</x:v>
      </x:c>
      <x:c r="F6" s="28" t="b">
        <x:v>0</x:v>
      </x:c>
      <x:c r="G6" s="6" t="n">
        <x:v>5.185185185185185</x:v>
      </x:c>
      <x:c r="H6" s="24" t="n">
        <x:v>4135.303536838237</x:v>
      </x:c>
      <x:c r="I6" s="24" t="n">
        <x:v>-1616.1081401564434</x:v>
      </x:c>
      <x:c r="J6" s="28" t="b">
        <x:v>1</x:v>
      </x:c>
      <x:c r="K6" s="28" t="b">
        <x:v>0</x:v>
      </x:c>
    </x:row>
    <x:row r="7" ht="20" customHeight="1">
      <x:c r="A7" s="6" t="str">
        <x:v>Bamaga</x:v>
      </x:c>
      <x:c r="B7" s="6" t="n">
        <x:v>1</x:v>
      </x:c>
      <x:c r="C7" s="6" t="n">
        <x:v>2022</x:v>
      </x:c>
      <x:c r="D7" s="6" t="str">
        <x:v>readiness</x:v>
      </x:c>
      <x:c r="E7" s="6" t="str">
        <x:v>remote</x:v>
      </x:c>
      <x:c r="F7" s="28" t="b">
        <x:v>0</x:v>
      </x:c>
      <x:c r="G7" s="6" t="n">
        <x:v>0.0771604938271605</x:v>
      </x:c>
      <x:c r="H7" s="24" t="n">
        <x:v>3752.201684986385</x:v>
      </x:c>
      <x:c r="I7" s="24" t="n">
        <x:v>-3694.2797521931</x:v>
      </x:c>
      <x:c r="J7" s="28" t="b">
        <x:v>0</x:v>
      </x:c>
      <x:c r="K7" s="28" t="b">
        <x:v>0</x:v>
      </x:c>
    </x:row>
    <x:row r="8" ht="20" customHeight="1">
      <x:c r="A8" s="6" t="str">
        <x:v>Beaudesert</x:v>
      </x:c>
      <x:c r="B8" s="6" t="n">
        <x:v>303</x:v>
      </x:c>
      <x:c r="C8" s="6" t="n">
        <x:v>2022</x:v>
      </x:c>
      <x:c r="D8" s="6" t="str">
        <x:v>rural_proxy</x:v>
      </x:c>
      <x:c r="E8" s="6" t="str">
        <x:v>metro</x:v>
      </x:c>
      <x:c r="F8" s="28" t="b">
        <x:v>0</x:v>
      </x:c>
      <x:c r="G8" s="6" t="n">
        <x:v>18.703703703703706</x:v>
      </x:c>
      <x:c r="H8" s="24" t="n">
        <x:v>5149.192425727126</x:v>
      </x:c>
      <x:c r="I8" s="24" t="n">
        <x:v>795.7079351805969</x:v>
      </x:c>
      <x:c r="J8" s="28" t="b">
        <x:v>1</x:v>
      </x:c>
      <x:c r="K8" s="28" t="b">
        <x:v>0</x:v>
      </x:c>
    </x:row>
    <x:row r="9" ht="20" customHeight="1">
      <x:c r="A9" s="6" t="str">
        <x:v>Biloela</x:v>
      </x:c>
      <x:c r="B9" s="6" t="n">
        <x:v>13</x:v>
      </x:c>
      <x:c r="C9" s="6" t="n">
        <x:v>2022</x:v>
      </x:c>
      <x:c r="D9" s="6" t="str">
        <x:v>readiness</x:v>
      </x:c>
      <x:c r="E9" s="6" t="str">
        <x:v>regional</x:v>
      </x:c>
      <x:c r="F9" s="28" t="b">
        <x:v>0</x:v>
      </x:c>
      <x:c r="G9" s="6" t="n">
        <x:v>0.8024691358024691</x:v>
      </x:c>
      <x:c r="H9" s="24" t="n">
        <x:v>3806.599833134533</x:v>
      </x:c>
      <x:c r="I9" s="24" t="n">
        <x:v>-3416.7243550766366</x:v>
      </x:c>
      <x:c r="J9" s="28" t="b">
        <x:v>0</x:v>
      </x:c>
      <x:c r="K9" s="28" t="b">
        <x:v>0</x:v>
      </x:c>
    </x:row>
    <x:row r="10" ht="20" customHeight="1">
      <x:c r="A10" s="6" t="str">
        <x:v>Blackwater</x:v>
      </x:c>
      <x:c r="B10" s="6" t="n">
        <x:v>2</x:v>
      </x:c>
      <x:c r="C10" s="6" t="n">
        <x:v>2022</x:v>
      </x:c>
      <x:c r="D10" s="6" t="str">
        <x:v>readiness</x:v>
      </x:c>
      <x:c r="E10" s="6" t="str">
        <x:v>regional</x:v>
      </x:c>
      <x:c r="F10" s="28" t="b">
        <x:v>0</x:v>
      </x:c>
      <x:c r="G10" s="6" t="n">
        <x:v>0.12345679012345678</x:v>
      </x:c>
      <x:c r="H10" s="24" t="n">
        <x:v>3755.6739072086075</x:v>
      </x:c>
      <x:c r="I10" s="24" t="n">
        <x:v>-3695.6930644304693</x:v>
      </x:c>
      <x:c r="J10" s="28" t="b">
        <x:v>0</x:v>
      </x:c>
      <x:c r="K10" s="28" t="b">
        <x:v>0</x:v>
      </x:c>
    </x:row>
    <x:row r="11" ht="20" customHeight="1">
      <x:c r="A11" s="6" t="str">
        <x:v>Boonah</x:v>
      </x:c>
      <x:c r="B11" s="6" t="n">
        <x:v>1</x:v>
      </x:c>
      <x:c r="C11" s="6" t="n">
        <x:v>2022</x:v>
      </x:c>
      <x:c r="D11" s="6" t="str">
        <x:v>readiness</x:v>
      </x:c>
      <x:c r="E11" s="6" t="str">
        <x:v>metro</x:v>
      </x:c>
      <x:c r="F11" s="28" t="b">
        <x:v>0</x:v>
      </x:c>
      <x:c r="G11" s="6" t="n">
        <x:v>0.06172839506172839</x:v>
      </x:c>
      <x:c r="H11" s="24" t="n">
        <x:v>3751.0442775789775</x:v>
      </x:c>
      <x:c r="I11" s="24" t="n">
        <x:v>-3731.4241443746614</x:v>
      </x:c>
      <x:c r="J11" s="28" t="b">
        <x:v>0</x:v>
      </x:c>
      <x:c r="K11" s="28" t="b">
        <x:v>0</x:v>
      </x:c>
    </x:row>
    <x:row r="12" ht="20" customHeight="1">
      <x:c r="A12" s="6" t="str">
        <x:v>Bowen</x:v>
      </x:c>
      <x:c r="B12" s="6" t="n">
        <x:v>4</x:v>
      </x:c>
      <x:c r="C12" s="6" t="n">
        <x:v>2022</x:v>
      </x:c>
      <x:c r="D12" s="6" t="str">
        <x:v>readiness</x:v>
      </x:c>
      <x:c r="E12" s="6" t="str">
        <x:v>regional</x:v>
      </x:c>
      <x:c r="F12" s="28" t="b">
        <x:v>0</x:v>
      </x:c>
      <x:c r="G12" s="6" t="n">
        <x:v>0.24691358024691357</x:v>
      </x:c>
      <x:c r="H12" s="24" t="n">
        <x:v>3764.9331664678666</x:v>
      </x:c>
      <x:c r="I12" s="24" t="n">
        <x:v>-3644.971480911591</x:v>
      </x:c>
      <x:c r="J12" s="28" t="b">
        <x:v>0</x:v>
      </x:c>
      <x:c r="K12" s="28" t="b">
        <x:v>0</x:v>
      </x:c>
    </x:row>
    <x:row r="13" ht="20" customHeight="1">
      <x:c r="A13" s="6" t="str">
        <x:v>Bundaberg Base</x:v>
      </x:c>
      <x:c r="B13" s="6" t="n">
        <x:v>991</x:v>
      </x:c>
      <x:c r="C13" s="6" t="n">
        <x:v>2022</x:v>
      </x:c>
      <x:c r="D13" s="6" t="str">
        <x:v>scn</x:v>
      </x:c>
      <x:c r="E13" s="6" t="str">
        <x:v>regional</x:v>
      </x:c>
      <x:c r="F13" s="28" t="b">
        <x:v>0</x:v>
      </x:c>
      <x:c r="G13" s="6" t="n">
        <x:v>30.58641975308642</x:v>
      </x:c>
      <x:c r="H13" s="24" t="n">
        <x:v>6040.39612943083</x:v>
      </x:c>
      <x:c r="I13" s="24" t="n">
        <x:v>8819.857668852845</x:v>
      </x:c>
      <x:c r="J13" s="28" t="b">
        <x:v>1</x:v>
      </x:c>
      <x:c r="K13" s="28" t="b">
        <x:v>0</x:v>
      </x:c>
    </x:row>
    <x:row r="14" ht="20" customHeight="1">
      <x:c r="A14" s="6" t="str">
        <x:v>Caboolture</x:v>
      </x:c>
      <x:c r="B14" s="6" t="n">
        <x:v>1926</x:v>
      </x:c>
      <x:c r="C14" s="6" t="n">
        <x:v>2022</x:v>
      </x:c>
      <x:c r="D14" s="6" t="str">
        <x:v>regional_proxy</x:v>
      </x:c>
      <x:c r="E14" s="6" t="str">
        <x:v>metro</x:v>
      </x:c>
      <x:c r="F14" s="28" t="b">
        <x:v>0</x:v>
      </x:c>
      <x:c r="G14" s="6" t="n">
        <x:v>77.27777777777779</x:v>
      </x:c>
      <x:c r="H14" s="24" t="n">
        <x:v>9542.247981282682</x:v>
      </x:c>
      <x:c r="I14" s="24" t="n">
        <x:v>15020.19677720041</x:v>
      </x:c>
      <x:c r="J14" s="28" t="b">
        <x:v>1</x:v>
      </x:c>
      <x:c r="K14" s="28" t="b">
        <x:v>0</x:v>
      </x:c>
    </x:row>
    <x:row r="15" ht="20" customHeight="1">
      <x:c r="A15" s="6" t="str">
        <x:v>Cairns</x:v>
      </x:c>
      <x:c r="B15" s="6" t="n">
        <x:v>2223</x:v>
      </x:c>
      <x:c r="C15" s="6" t="n">
        <x:v>2022</x:v>
      </x:c>
      <x:c r="D15" s="6" t="str">
        <x:v>scn</x:v>
      </x:c>
      <x:c r="E15" s="6" t="str">
        <x:v>regional</x:v>
      </x:c>
      <x:c r="F15" s="28" t="b">
        <x:v>0</x:v>
      </x:c>
      <x:c r="G15" s="6" t="n">
        <x:v>68.61111111111111</x:v>
      </x:c>
      <x:c r="H15" s="24" t="n">
        <x:v>8892.247981282682</x:v>
      </x:c>
      <x:c r="I15" s="24" t="n">
        <x:v>24442.105392667483</x:v>
      </x:c>
      <x:c r="J15" s="28" t="b">
        <x:v>1</x:v>
      </x:c>
      <x:c r="K15" s="28" t="b">
        <x:v>0</x:v>
      </x:c>
    </x:row>
    <x:row r="16" ht="20" customHeight="1">
      <x:c r="A16" s="6" t="str">
        <x:v>Charleville</x:v>
      </x:c>
      <x:c r="B16" s="6" t="n">
        <x:v>44</x:v>
      </x:c>
      <x:c r="C16" s="6" t="n">
        <x:v>2022</x:v>
      </x:c>
      <x:c r="D16" s="6" t="str">
        <x:v>rural_proxy</x:v>
      </x:c>
      <x:c r="E16" s="6" t="str">
        <x:v>remote</x:v>
      </x:c>
      <x:c r="F16" s="28" t="b">
        <x:v>0</x:v>
      </x:c>
      <x:c r="G16" s="6" t="n">
        <x:v>3.395061728395062</x:v>
      </x:c>
      <x:c r="H16" s="24" t="n">
        <x:v>4001.0442775789775</x:v>
      </x:c>
      <x:c r="I16" s="24" t="n">
        <x:v>-1452.4792346744548</x:v>
      </x:c>
      <x:c r="J16" s="28" t="b">
        <x:v>1</x:v>
      </x:c>
      <x:c r="K16" s="28" t="b">
        <x:v>0</x:v>
      </x:c>
    </x:row>
    <x:row r="17" ht="20" customHeight="1">
      <x:c r="A17" s="6" t="str">
        <x:v>Charters Towers</x:v>
      </x:c>
      <x:c r="B17" s="6" t="n">
        <x:v>3</x:v>
      </x:c>
      <x:c r="C17" s="6" t="n">
        <x:v>2022</x:v>
      </x:c>
      <x:c r="D17" s="6" t="str">
        <x:v>readiness</x:v>
      </x:c>
      <x:c r="E17" s="6" t="str">
        <x:v>regional</x:v>
      </x:c>
      <x:c r="F17" s="28" t="b">
        <x:v>0</x:v>
      </x:c>
      <x:c r="G17" s="6" t="n">
        <x:v>0.18518518518518517</x:v>
      </x:c>
      <x:c r="H17" s="24" t="n">
        <x:v>3760.303536838237</x:v>
      </x:c>
      <x:c r="I17" s="24" t="n">
        <x:v>-3670.3322726710303</x:v>
      </x:c>
      <x:c r="J17" s="28" t="b">
        <x:v>0</x:v>
      </x:c>
      <x:c r="K17" s="28" t="b">
        <x:v>0</x:v>
      </x:c>
    </x:row>
    <x:row r="18" ht="20" customHeight="1">
      <x:c r="A18" s="6" t="str">
        <x:v>Chinchilla</x:v>
      </x:c>
      <x:c r="B18" s="6" t="n">
        <x:v>4</x:v>
      </x:c>
      <x:c r="C18" s="6" t="n">
        <x:v>2022</x:v>
      </x:c>
      <x:c r="D18" s="6" t="str">
        <x:v>readiness</x:v>
      </x:c>
      <x:c r="E18" s="6" t="str">
        <x:v>regional</x:v>
      </x:c>
      <x:c r="F18" s="28" t="b">
        <x:v>0</x:v>
      </x:c>
      <x:c r="G18" s="6" t="n">
        <x:v>0.24691358024691357</x:v>
      </x:c>
      <x:c r="H18" s="24" t="n">
        <x:v>3764.9331664678666</x:v>
      </x:c>
      <x:c r="I18" s="24" t="n">
        <x:v>-3644.971480911591</x:v>
      </x:c>
      <x:c r="J18" s="28" t="b">
        <x:v>0</x:v>
      </x:c>
      <x:c r="K18" s="28" t="b">
        <x:v>0</x:v>
      </x:c>
    </x:row>
    <x:row r="19" ht="20" customHeight="1">
      <x:c r="A19" s="6" t="str">
        <x:v>Clermont</x:v>
      </x:c>
      <x:c r="B19" s="6" t="n">
        <x:v>1</x:v>
      </x:c>
      <x:c r="C19" s="6" t="n">
        <x:v>2022</x:v>
      </x:c>
      <x:c r="D19" s="6" t="str">
        <x:v>readiness</x:v>
      </x:c>
      <x:c r="E19" s="6" t="str">
        <x:v>regional</x:v>
      </x:c>
      <x:c r="F19" s="28" t="b">
        <x:v>0</x:v>
      </x:c>
      <x:c r="G19" s="6" t="n">
        <x:v>0.06172839506172839</x:v>
      </x:c>
      <x:c r="H19" s="24" t="n">
        <x:v>3751.0442775789775</x:v>
      </x:c>
      <x:c r="I19" s="24" t="n">
        <x:v>-3721.0538561899084</x:v>
      </x:c>
      <x:c r="J19" s="28" t="b">
        <x:v>0</x:v>
      </x:c>
      <x:c r="K19" s="28" t="b">
        <x:v>0</x:v>
      </x:c>
    </x:row>
    <x:row r="20" ht="20" customHeight="1">
      <x:c r="A20" s="6" t="str">
        <x:v>Cloncurry</x:v>
      </x:c>
      <x:c r="B20" s="6" t="n">
        <x:v>1</x:v>
      </x:c>
      <x:c r="C20" s="6" t="n">
        <x:v>2022</x:v>
      </x:c>
      <x:c r="D20" s="6" t="str">
        <x:v>readiness</x:v>
      </x:c>
      <x:c r="E20" s="6" t="str">
        <x:v>remote</x:v>
      </x:c>
      <x:c r="F20" s="28" t="b">
        <x:v>0</x:v>
      </x:c>
      <x:c r="G20" s="6" t="n">
        <x:v>0.0771604938271605</x:v>
      </x:c>
      <x:c r="H20" s="24" t="n">
        <x:v>3752.201684986385</x:v>
      </x:c>
      <x:c r="I20" s="24" t="n">
        <x:v>-3694.2797521931</x:v>
      </x:c>
      <x:c r="J20" s="28" t="b">
        <x:v>0</x:v>
      </x:c>
      <x:c r="K20" s="28" t="b">
        <x:v>0</x:v>
      </x:c>
    </x:row>
    <x:row r="21" ht="20" customHeight="1">
      <x:c r="A21" s="6" t="str">
        <x:v>Cooktown</x:v>
      </x:c>
      <x:c r="B21" s="6" t="n">
        <x:v>6</x:v>
      </x:c>
      <x:c r="C21" s="6" t="n">
        <x:v>2022</x:v>
      </x:c>
      <x:c r="D21" s="6" t="str">
        <x:v>readiness</x:v>
      </x:c>
      <x:c r="E21" s="6" t="str">
        <x:v>remote</x:v>
      </x:c>
      <x:c r="F21" s="28" t="b">
        <x:v>0</x:v>
      </x:c>
      <x:c r="G21" s="6" t="n">
        <x:v>0.4629629629629629</x:v>
      </x:c>
      <x:c r="H21" s="24" t="n">
        <x:v>3781.13687017157</x:v>
      </x:c>
      <x:c r="I21" s="24" t="n">
        <x:v>-3433.6052734118625</x:v>
      </x:c>
      <x:c r="J21" s="28" t="b">
        <x:v>0</x:v>
      </x:c>
      <x:c r="K21" s="28" t="b">
        <x:v>0</x:v>
      </x:c>
    </x:row>
    <x:row r="22" ht="20" customHeight="1">
      <x:c r="A22" s="6" t="str">
        <x:v>Dalby</x:v>
      </x:c>
      <x:c r="B22" s="6" t="n">
        <x:v>266</x:v>
      </x:c>
      <x:c r="C22" s="6" t="n">
        <x:v>2022</x:v>
      </x:c>
      <x:c r="D22" s="6" t="str">
        <x:v>rural_proxy</x:v>
      </x:c>
      <x:c r="E22" s="6" t="str">
        <x:v>regional</x:v>
      </x:c>
      <x:c r="F22" s="28" t="b">
        <x:v>0</x:v>
      </x:c>
      <x:c r="G22" s="6" t="n">
        <x:v>16.419753086419753</x:v>
      </x:c>
      <x:c r="H22" s="24" t="n">
        <x:v>4977.896129430829</x:v>
      </x:c>
      <x:c r="I22" s="24" t="n">
        <x:v>2999.555960061517</x:v>
      </x:c>
      <x:c r="J22" s="28" t="b">
        <x:v>1</x:v>
      </x:c>
      <x:c r="K22" s="28" t="b">
        <x:v>0</x:v>
      </x:c>
    </x:row>
    <x:row r="23" ht="20" customHeight="1">
      <x:c r="A23" s="6" t="str">
        <x:v>Doomadgee</x:v>
      </x:c>
      <x:c r="B23" s="6" t="n">
        <x:v>2</x:v>
      </x:c>
      <x:c r="C23" s="6" t="n">
        <x:v>2022</x:v>
      </x:c>
      <x:c r="D23" s="6" t="str">
        <x:v>readiness</x:v>
      </x:c>
      <x:c r="E23" s="6" t="str">
        <x:v>remote</x:v>
      </x:c>
      <x:c r="F23" s="28" t="b">
        <x:v>0</x:v>
      </x:c>
      <x:c r="G23" s="6" t="n">
        <x:v>0.154320987654321</x:v>
      </x:c>
      <x:c r="H23" s="24" t="n">
        <x:v>3757.9887220234223</x:v>
      </x:c>
      <x:c r="I23" s="24" t="n">
        <x:v>-3642.144856436853</x:v>
      </x:c>
      <x:c r="J23" s="28" t="b">
        <x:v>0</x:v>
      </x:c>
      <x:c r="K23" s="28" t="b">
        <x:v>0</x:v>
      </x:c>
    </x:row>
    <x:row r="24" ht="20" customHeight="1">
      <x:c r="A24" s="6" t="str">
        <x:v>Dysart</x:v>
      </x:c>
      <x:c r="B24" s="6" t="n">
        <x:v>1</x:v>
      </x:c>
      <x:c r="C24" s="6" t="n">
        <x:v>2022</x:v>
      </x:c>
      <x:c r="D24" s="6" t="str">
        <x:v>readiness</x:v>
      </x:c>
      <x:c r="E24" s="6" t="str">
        <x:v>regional</x:v>
      </x:c>
      <x:c r="F24" s="28" t="b">
        <x:v>0</x:v>
      </x:c>
      <x:c r="G24" s="6" t="n">
        <x:v>0.06172839506172839</x:v>
      </x:c>
      <x:c r="H24" s="24" t="n">
        <x:v>3751.0442775789775</x:v>
      </x:c>
      <x:c r="I24" s="24" t="n">
        <x:v>-3721.0538561899084</x:v>
      </x:c>
      <x:c r="J24" s="28" t="b">
        <x:v>0</x:v>
      </x:c>
      <x:c r="K24" s="28" t="b">
        <x:v>0</x:v>
      </x:c>
    </x:row>
    <x:row r="25" ht="20" customHeight="1">
      <x:c r="A25" s="6" t="str">
        <x:v>Eidsvold</x:v>
      </x:c>
      <x:c r="B25" s="6" t="n">
        <x:v>1</x:v>
      </x:c>
      <x:c r="C25" s="6" t="n">
        <x:v>2022</x:v>
      </x:c>
      <x:c r="D25" s="6" t="str">
        <x:v>readiness</x:v>
      </x:c>
      <x:c r="E25" s="6" t="str">
        <x:v>regional</x:v>
      </x:c>
      <x:c r="F25" s="28" t="b">
        <x:v>0</x:v>
      </x:c>
      <x:c r="G25" s="6" t="n">
        <x:v>0.06172839506172839</x:v>
      </x:c>
      <x:c r="H25" s="24" t="n">
        <x:v>3751.0442775789775</x:v>
      </x:c>
      <x:c r="I25" s="24" t="n">
        <x:v>-3721.0538561899084</x:v>
      </x:c>
      <x:c r="J25" s="28" t="b">
        <x:v>0</x:v>
      </x:c>
      <x:c r="K25" s="28" t="b">
        <x:v>0</x:v>
      </x:c>
    </x:row>
    <x:row r="26" ht="20" customHeight="1">
      <x:c r="A26" s="6" t="str">
        <x:v>Emerald</x:v>
      </x:c>
      <x:c r="B26" s="6" t="n">
        <x:v>300</x:v>
      </x:c>
      <x:c r="C26" s="6" t="n">
        <x:v>2022</x:v>
      </x:c>
      <x:c r="D26" s="6" t="str">
        <x:v>rural_proxy</x:v>
      </x:c>
      <x:c r="E26" s="6" t="str">
        <x:v>regional</x:v>
      </x:c>
      <x:c r="F26" s="28" t="b">
        <x:v>0</x:v>
      </x:c>
      <x:c r="G26" s="6" t="n">
        <x:v>18.518518518518515</x:v>
      </x:c>
      <x:c r="H26" s="24" t="n">
        <x:v>5135.303536838237</x:v>
      </x:c>
      <x:c r="I26" s="24" t="n">
        <x:v>3861.822879882453</x:v>
      </x:c>
      <x:c r="J26" s="28" t="b">
        <x:v>1</x:v>
      </x:c>
      <x:c r="K26" s="28" t="b">
        <x:v>0</x:v>
      </x:c>
    </x:row>
    <x:row r="27" ht="20" customHeight="1">
      <x:c r="A27" s="6" t="str">
        <x:v>Gatton</x:v>
      </x:c>
      <x:c r="B27" s="6" t="n">
        <x:v>1</x:v>
      </x:c>
      <x:c r="C27" s="6" t="n">
        <x:v>2022</x:v>
      </x:c>
      <x:c r="D27" s="6" t="str">
        <x:v>readiness</x:v>
      </x:c>
      <x:c r="E27" s="6" t="str">
        <x:v>metro</x:v>
      </x:c>
      <x:c r="F27" s="28" t="b">
        <x:v>0</x:v>
      </x:c>
      <x:c r="G27" s="6" t="n">
        <x:v>0.06172839506172839</x:v>
      </x:c>
      <x:c r="H27" s="24" t="n">
        <x:v>3751.0442775789775</x:v>
      </x:c>
      <x:c r="I27" s="24" t="n">
        <x:v>-3731.4241443746614</x:v>
      </x:c>
      <x:c r="J27" s="28" t="b">
        <x:v>0</x:v>
      </x:c>
      <x:c r="K27" s="28" t="b">
        <x:v>0</x:v>
      </x:c>
    </x:row>
    <x:row r="28" ht="20" customHeight="1">
      <x:c r="A28" s="6" t="str">
        <x:v>Gladstone</x:v>
      </x:c>
      <x:c r="B28" s="6" t="n">
        <x:v>363</x:v>
      </x:c>
      <x:c r="C28" s="6" t="n">
        <x:v>2022</x:v>
      </x:c>
      <x:c r="D28" s="6" t="str">
        <x:v>rural_proxy</x:v>
      </x:c>
      <x:c r="E28" s="6" t="str">
        <x:v>regional</x:v>
      </x:c>
      <x:c r="F28" s="28" t="b">
        <x:v>0</x:v>
      </x:c>
      <x:c r="G28" s="6" t="n">
        <x:v>22.407407407407405</x:v>
      </x:c>
      <x:c r="H28" s="24" t="n">
        <x:v>5426.970203504903</x:v>
      </x:c>
      <x:c r="I28" s="24" t="n">
        <x:v>5459.552760727132</x:v>
      </x:c>
      <x:c r="J28" s="28" t="b">
        <x:v>1</x:v>
      </x:c>
      <x:c r="K28" s="28" t="b">
        <x:v>0</x:v>
      </x:c>
    </x:row>
    <x:row r="29" ht="20" customHeight="1">
      <x:c r="A29" s="6" t="str">
        <x:v>Gold Coast University</x:v>
      </x:c>
      <x:c r="B29" s="6" t="n">
        <x:v>5303</x:v>
      </x:c>
      <x:c r="C29" s="6" t="n">
        <x:v>2022</x:v>
      </x:c>
      <x:c r="D29" s="6" t="str">
        <x:v>hub</x:v>
      </x:c>
      <x:c r="E29" s="6" t="str">
        <x:v>metro</x:v>
      </x:c>
      <x:c r="F29" s="28" t="b">
        <x:v>0</x:v>
      </x:c>
      <x:c r="G29" s="6" t="n">
        <x:v>0</x:v>
      </x:c>
      <x:c r="H29" s="24" t="n">
        <x:v>3746.414647949348</x:v>
      </x:c>
      <x:c r="I29" s="24" t="n">
        <x:v>-3746.414647949348</x:v>
      </x:c>
      <x:c r="J29" s="28" t="b">
        <x:v>0</x:v>
      </x:c>
      <x:c r="K29" s="28" t="b">
        <x:v>0</x:v>
      </x:c>
    </x:row>
    <x:row r="30" ht="20" customHeight="1">
      <x:c r="A30" s="6" t="str">
        <x:v>Goondiwindi</x:v>
      </x:c>
      <x:c r="B30" s="6" t="n">
        <x:v>107</x:v>
      </x:c>
      <x:c r="C30" s="6" t="n">
        <x:v>2022</x:v>
      </x:c>
      <x:c r="D30" s="6" t="str">
        <x:v>rural_proxy</x:v>
      </x:c>
      <x:c r="E30" s="6" t="str">
        <x:v>regional</x:v>
      </x:c>
      <x:c r="F30" s="28" t="b">
        <x:v>0</x:v>
      </x:c>
      <x:c r="G30" s="6" t="n">
        <x:v>6.604938271604938</x:v>
      </x:c>
      <x:c r="H30" s="24" t="n">
        <x:v>4241.785018319719</x:v>
      </x:c>
      <x:c r="I30" s="24" t="n">
        <x:v>-1032.8099296893388</x:v>
      </x:c>
      <x:c r="J30" s="28" t="b">
        <x:v>1</x:v>
      </x:c>
      <x:c r="K30" s="28" t="b">
        <x:v>0</x:v>
      </x:c>
    </x:row>
    <x:row r="31" ht="20" customHeight="1">
      <x:c r="A31" s="6" t="str">
        <x:v>Gympie</x:v>
      </x:c>
      <x:c r="B31" s="6" t="n">
        <x:v>289</x:v>
      </x:c>
      <x:c r="C31" s="6" t="n">
        <x:v>2022</x:v>
      </x:c>
      <x:c r="D31" s="6" t="str">
        <x:v>rural_proxy</x:v>
      </x:c>
      <x:c r="E31" s="6" t="str">
        <x:v>regional</x:v>
      </x:c>
      <x:c r="F31" s="28" t="b">
        <x:v>0</x:v>
      </x:c>
      <x:c r="G31" s="6" t="n">
        <x:v>17.839506172839506</x:v>
      </x:c>
      <x:c r="H31" s="24" t="n">
        <x:v>5084.377610912311</x:v>
      </x:c>
      <x:c r="I31" s="24" t="n">
        <x:v>3582.8541705286216</x:v>
      </x:c>
      <x:c r="J31" s="28" t="b">
        <x:v>1</x:v>
      </x:c>
      <x:c r="K31" s="28" t="b">
        <x:v>0</x:v>
      </x:c>
    </x:row>
    <x:row r="32" ht="20" customHeight="1">
      <x:c r="A32" s="6" t="str">
        <x:v>Hervey Bay</x:v>
      </x:c>
      <x:c r="B32" s="6" t="n">
        <x:v>865</x:v>
      </x:c>
      <x:c r="C32" s="6" t="n">
        <x:v>2022</x:v>
      </x:c>
      <x:c r="D32" s="6" t="str">
        <x:v>rural_proxy</x:v>
      </x:c>
      <x:c r="E32" s="6" t="str">
        <x:v>regional</x:v>
      </x:c>
      <x:c r="F32" s="28" t="b">
        <x:v>0</x:v>
      </x:c>
      <x:c r="G32" s="6" t="n">
        <x:v>53.39506172839506</x:v>
      </x:c>
      <x:c r="H32" s="24" t="n">
        <x:v>7751.044277578977</x:v>
      </x:c>
      <x:c r="I32" s="24" t="n">
        <x:v>18190.670223965677</x:v>
      </x:c>
      <x:c r="J32" s="28" t="b">
        <x:v>1</x:v>
      </x:c>
      <x:c r="K32" s="28" t="b">
        <x:v>0</x:v>
      </x:c>
    </x:row>
    <x:row r="33" ht="20" customHeight="1">
      <x:c r="A33" s="6" t="str">
        <x:v>Ingham</x:v>
      </x:c>
      <x:c r="B33" s="6" t="n">
        <x:v>57</x:v>
      </x:c>
      <x:c r="C33" s="6" t="n">
        <x:v>2022</x:v>
      </x:c>
      <x:c r="D33" s="6" t="str">
        <x:v>rural_proxy</x:v>
      </x:c>
      <x:c r="E33" s="6" t="str">
        <x:v>regional</x:v>
      </x:c>
      <x:c r="F33" s="28" t="b">
        <x:v>0</x:v>
      </x:c>
      <x:c r="G33" s="6" t="n">
        <x:v>3.5185185185185186</x:v>
      </x:c>
      <x:c r="H33" s="24" t="n">
        <x:v>4010.303536838237</x:v>
      </x:c>
      <x:c r="I33" s="24" t="n">
        <x:v>-2300.849517661306</x:v>
      </x:c>
      <x:c r="J33" s="28" t="b">
        <x:v>1</x:v>
      </x:c>
      <x:c r="K33" s="28" t="b">
        <x:v>0</x:v>
      </x:c>
    </x:row>
    <x:row r="34" ht="20" customHeight="1">
      <x:c r="A34" s="6" t="str">
        <x:v>Innisfail</x:v>
      </x:c>
      <x:c r="B34" s="6" t="n">
        <x:v>195</x:v>
      </x:c>
      <x:c r="C34" s="6" t="n">
        <x:v>2022</x:v>
      </x:c>
      <x:c r="D34" s="6" t="str">
        <x:v>rural_proxy</x:v>
      </x:c>
      <x:c r="E34" s="6" t="str">
        <x:v>regional</x:v>
      </x:c>
      <x:c r="F34" s="28" t="b">
        <x:v>1</x:v>
      </x:c>
      <x:c r="G34" s="6" t="n">
        <x:v>12.5</x:v>
      </x:c>
      <x:c r="H34" s="24" t="n">
        <x:v>4683.914647949348</x:v>
      </x:c>
      <x:c r="I34" s="24" t="n">
        <x:v>1389.1456833371176</x:v>
      </x:c>
      <x:c r="J34" s="28" t="b">
        <x:v>1</x:v>
      </x:c>
      <x:c r="K34" s="28" t="b">
        <x:v>0</x:v>
      </x:c>
    </x:row>
    <x:row r="35" ht="20" customHeight="1">
      <x:c r="A35" s="6" t="str">
        <x:v>Ipswich</x:v>
      </x:c>
      <x:c r="B35" s="6" t="n">
        <x:v>2760</x:v>
      </x:c>
      <x:c r="C35" s="6" t="n">
        <x:v>2022</x:v>
      </x:c>
      <x:c r="D35" s="6" t="str">
        <x:v>regional_proxy</x:v>
      </x:c>
      <x:c r="E35" s="6" t="str">
        <x:v>metro</x:v>
      </x:c>
      <x:c r="F35" s="28" t="b">
        <x:v>0</x:v>
      </x:c>
      <x:c r="G35" s="6" t="n">
        <x:v>110.74074074074075</x:v>
      </x:c>
      <x:c r="H35" s="24" t="n">
        <x:v>12051.970203504905</x:v>
      </x:c>
      <x:c r="I35" s="24" t="n">
        <x:v>23146.54876503784</x:v>
      </x:c>
      <x:c r="J35" s="28" t="b">
        <x:v>1</x:v>
      </x:c>
      <x:c r="K35" s="28" t="b">
        <x:v>0</x:v>
      </x:c>
    </x:row>
    <x:row r="36" ht="20" customHeight="1">
      <x:c r="A36" s="6" t="str">
        <x:v>Joyce Palmer HS</x:v>
      </x:c>
      <x:c r="B36" s="6" t="n">
        <x:v>3</x:v>
      </x:c>
      <x:c r="C36" s="6" t="n">
        <x:v>2022</x:v>
      </x:c>
      <x:c r="D36" s="6" t="str">
        <x:v>readiness</x:v>
      </x:c>
      <x:c r="E36" s="6" t="str">
        <x:v>remote</x:v>
      </x:c>
      <x:c r="F36" s="28" t="b">
        <x:v>0</x:v>
      </x:c>
      <x:c r="G36" s="6" t="n">
        <x:v>0.23148148148148145</x:v>
      </x:c>
      <x:c r="H36" s="24" t="n">
        <x:v>3763.7757590604588</x:v>
      </x:c>
      <x:c r="I36" s="24" t="n">
        <x:v>-3590.0099606806048</x:v>
      </x:c>
      <x:c r="J36" s="28" t="b">
        <x:v>0</x:v>
      </x:c>
      <x:c r="K36" s="28" t="b">
        <x:v>0</x:v>
      </x:c>
    </x:row>
    <x:row r="37" ht="20" customHeight="1">
      <x:c r="A37" s="6" t="str">
        <x:v>Kingaroy</x:v>
      </x:c>
      <x:c r="B37" s="6" t="n">
        <x:v>295</x:v>
      </x:c>
      <x:c r="C37" s="6" t="n">
        <x:v>2022</x:v>
      </x:c>
      <x:c r="D37" s="6" t="str">
        <x:v>rural_proxy</x:v>
      </x:c>
      <x:c r="E37" s="6" t="str">
        <x:v>regional</x:v>
      </x:c>
      <x:c r="F37" s="28" t="b">
        <x:v>0</x:v>
      </x:c>
      <x:c r="G37" s="6" t="n">
        <x:v>18.209876543209877</x:v>
      </x:c>
      <x:c r="H37" s="24" t="n">
        <x:v>5112.155388690088</x:v>
      </x:c>
      <x:c r="I37" s="24" t="n">
        <x:v>3735.018921085256</x:v>
      </x:c>
      <x:c r="J37" s="28" t="b">
        <x:v>1</x:v>
      </x:c>
      <x:c r="K37" s="28" t="b">
        <x:v>0</x:v>
      </x:c>
    </x:row>
    <x:row r="38" ht="20" customHeight="1">
      <x:c r="A38" s="6" t="str">
        <x:v>Logan</x:v>
      </x:c>
      <x:c r="B38" s="6" t="n">
        <x:v>3833</x:v>
      </x:c>
      <x:c r="C38" s="6" t="n">
        <x:v>2022</x:v>
      </x:c>
      <x:c r="D38" s="6" t="str">
        <x:v>scn</x:v>
      </x:c>
      <x:c r="E38" s="6" t="str">
        <x:v>metro</x:v>
      </x:c>
      <x:c r="F38" s="28" t="b">
        <x:v>0</x:v>
      </x:c>
      <x:c r="G38" s="6" t="n">
        <x:v>118.30246913580248</x:v>
      </x:c>
      <x:c r="H38" s="24" t="n">
        <x:v>12619.099833134533</x:v>
      </x:c>
      <x:c r="I38" s="24" t="n">
        <x:v>24982.885452936913</x:v>
      </x:c>
      <x:c r="J38" s="28" t="b">
        <x:v>1</x:v>
      </x:c>
      <x:c r="K38" s="28" t="b">
        <x:v>0</x:v>
      </x:c>
    </x:row>
    <x:row r="39" ht="20" customHeight="1">
      <x:c r="A39" s="6" t="str">
        <x:v>Longreach</x:v>
      </x:c>
      <x:c r="B39" s="6" t="n">
        <x:v>80</x:v>
      </x:c>
      <x:c r="C39" s="6" t="n">
        <x:v>2022</x:v>
      </x:c>
      <x:c r="D39" s="6" t="str">
        <x:v>rural_proxy</x:v>
      </x:c>
      <x:c r="E39" s="6" t="str">
        <x:v>remote</x:v>
      </x:c>
      <x:c r="F39" s="28" t="b">
        <x:v>0</x:v>
      </x:c>
      <x:c r="G39" s="6" t="n">
        <x:v>6.172839506172839</x:v>
      </x:c>
      <x:c r="H39" s="24" t="n">
        <x:v>4209.377610912311</x:v>
      </x:c>
      <x:c r="I39" s="24" t="n">
        <x:v>424.37701255045795</x:v>
      </x:c>
      <x:c r="J39" s="28" t="b">
        <x:v>1</x:v>
      </x:c>
      <x:c r="K39" s="28" t="b">
        <x:v>0</x:v>
      </x:c>
    </x:row>
    <x:row r="40" ht="20" customHeight="1">
      <x:c r="A40" s="6" t="str">
        <x:v>Mackay Base</x:v>
      </x:c>
      <x:c r="B40" s="6" t="n">
        <x:v>1350</x:v>
      </x:c>
      <x:c r="C40" s="6" t="n">
        <x:v>2022</x:v>
      </x:c>
      <x:c r="D40" s="6" t="str">
        <x:v>scn</x:v>
      </x:c>
      <x:c r="E40" s="6" t="str">
        <x:v>regional</x:v>
      </x:c>
      <x:c r="F40" s="28" t="b">
        <x:v>0</x:v>
      </x:c>
      <x:c r="G40" s="6" t="n">
        <x:v>41.666666666666664</x:v>
      </x:c>
      <x:c r="H40" s="24" t="n">
        <x:v>6871.414647949347</x:v>
      </x:c>
      <x:c r="I40" s="24" t="n">
        <x:v>13372.119789672204</x:v>
      </x:c>
      <x:c r="J40" s="28" t="b">
        <x:v>1</x:v>
      </x:c>
      <x:c r="K40" s="28" t="b">
        <x:v>0</x:v>
      </x:c>
    </x:row>
    <x:row r="41" ht="20" customHeight="1">
      <x:c r="A41" s="6" t="str">
        <x:v>Mareeba</x:v>
      </x:c>
      <x:c r="B41" s="6" t="n">
        <x:v>134</x:v>
      </x:c>
      <x:c r="C41" s="6" t="n">
        <x:v>2022</x:v>
      </x:c>
      <x:c r="D41" s="6" t="str">
        <x:v>rural_proxy</x:v>
      </x:c>
      <x:c r="E41" s="6" t="str">
        <x:v>regional</x:v>
      </x:c>
      <x:c r="F41" s="28" t="b">
        <x:v>1</x:v>
      </x:c>
      <x:c r="G41" s="6" t="n">
        <x:v>12.5</x:v>
      </x:c>
      <x:c r="H41" s="24" t="n">
        <x:v>4683.914647949348</x:v>
      </x:c>
      <x:c r="I41" s="24" t="n">
        <x:v>1389.1456833371176</x:v>
      </x:c>
      <x:c r="J41" s="28" t="b">
        <x:v>1</x:v>
      </x:c>
      <x:c r="K41" s="28" t="b">
        <x:v>0</x:v>
      </x:c>
    </x:row>
    <x:row r="42" ht="20" customHeight="1">
      <x:c r="A42" s="6" t="str">
        <x:v>Maryborough</x:v>
      </x:c>
      <x:c r="B42" s="6" t="n">
        <x:v>1</x:v>
      </x:c>
      <x:c r="C42" s="6" t="n">
        <x:v>2022</x:v>
      </x:c>
      <x:c r="D42" s="6" t="str">
        <x:v>readiness</x:v>
      </x:c>
      <x:c r="E42" s="6" t="str">
        <x:v>regional</x:v>
      </x:c>
      <x:c r="F42" s="28" t="b">
        <x:v>0</x:v>
      </x:c>
      <x:c r="G42" s="6" t="n">
        <x:v>0.06172839506172839</x:v>
      </x:c>
      <x:c r="H42" s="24" t="n">
        <x:v>3751.0442775789775</x:v>
      </x:c>
      <x:c r="I42" s="24" t="n">
        <x:v>-3721.0538561899084</x:v>
      </x:c>
      <x:c r="J42" s="28" t="b">
        <x:v>0</x:v>
      </x:c>
      <x:c r="K42" s="28" t="b">
        <x:v>0</x:v>
      </x:c>
    </x:row>
    <x:row r="43" ht="20" customHeight="1">
      <x:c r="A43" s="6" t="str">
        <x:v>Mater Mothers' Hospital</x:v>
      </x:c>
      <x:c r="B43" s="6" t="n">
        <x:v>5884</x:v>
      </x:c>
      <x:c r="C43" s="6" t="n">
        <x:v>2022</x:v>
      </x:c>
      <x:c r="D43" s="6" t="str">
        <x:v>hub</x:v>
      </x:c>
      <x:c r="E43" s="6" t="str">
        <x:v>metro</x:v>
      </x:c>
      <x:c r="F43" s="28" t="b">
        <x:v>0</x:v>
      </x:c>
      <x:c r="G43" s="6" t="n">
        <x:v>0</x:v>
      </x:c>
      <x:c r="H43" s="24" t="n">
        <x:v>3746.414647949348</x:v>
      </x:c>
      <x:c r="I43" s="24" t="n">
        <x:v>-3746.414647949348</x:v>
      </x:c>
      <x:c r="J43" s="28" t="b">
        <x:v>0</x:v>
      </x:c>
      <x:c r="K43" s="28" t="b">
        <x:v>0</x:v>
      </x:c>
    </x:row>
    <x:row r="44" ht="20" customHeight="1">
      <x:c r="A44" s="6" t="str">
        <x:v>Millmerran</x:v>
      </x:c>
      <x:c r="B44" s="6" t="n">
        <x:v>1</x:v>
      </x:c>
      <x:c r="C44" s="6" t="n">
        <x:v>2022</x:v>
      </x:c>
      <x:c r="D44" s="6" t="str">
        <x:v>readiness</x:v>
      </x:c>
      <x:c r="E44" s="6" t="str">
        <x:v>regional</x:v>
      </x:c>
      <x:c r="F44" s="28" t="b">
        <x:v>0</x:v>
      </x:c>
      <x:c r="G44" s="6" t="n">
        <x:v>0.06172839506172839</x:v>
      </x:c>
      <x:c r="H44" s="24" t="n">
        <x:v>3751.0442775789775</x:v>
      </x:c>
      <x:c r="I44" s="24" t="n">
        <x:v>-3721.0538561899084</x:v>
      </x:c>
      <x:c r="J44" s="28" t="b">
        <x:v>0</x:v>
      </x:c>
      <x:c r="K44" s="28" t="b">
        <x:v>0</x:v>
      </x:c>
    </x:row>
    <x:row r="45" ht="20" customHeight="1">
      <x:c r="A45" s="6" t="str">
        <x:v>Mornington Island</x:v>
      </x:c>
      <x:c r="B45" s="6" t="n">
        <x:v>1</x:v>
      </x:c>
      <x:c r="C45" s="6" t="n">
        <x:v>2022</x:v>
      </x:c>
      <x:c r="D45" s="6" t="str">
        <x:v>readiness</x:v>
      </x:c>
      <x:c r="E45" s="6" t="str">
        <x:v>remote</x:v>
      </x:c>
      <x:c r="F45" s="28" t="b">
        <x:v>0</x:v>
      </x:c>
      <x:c r="G45" s="6" t="n">
        <x:v>0.0771604938271605</x:v>
      </x:c>
      <x:c r="H45" s="24" t="n">
        <x:v>3752.201684986385</x:v>
      </x:c>
      <x:c r="I45" s="24" t="n">
        <x:v>-3694.2797521931</x:v>
      </x:c>
      <x:c r="J45" s="28" t="b">
        <x:v>0</x:v>
      </x:c>
      <x:c r="K45" s="28" t="b">
        <x:v>0</x:v>
      </x:c>
    </x:row>
    <x:row r="46" ht="20" customHeight="1">
      <x:c r="A46" s="6" t="str">
        <x:v>Mossman</x:v>
      </x:c>
      <x:c r="B46" s="6" t="n">
        <x:v>6</x:v>
      </x:c>
      <x:c r="C46" s="6" t="n">
        <x:v>2022</x:v>
      </x:c>
      <x:c r="D46" s="6" t="str">
        <x:v>readiness</x:v>
      </x:c>
      <x:c r="E46" s="6" t="str">
        <x:v>regional</x:v>
      </x:c>
      <x:c r="F46" s="28" t="b">
        <x:v>0</x:v>
      </x:c>
      <x:c r="G46" s="6" t="n">
        <x:v>0.37037037037037035</x:v>
      </x:c>
      <x:c r="H46" s="24" t="n">
        <x:v>3774.1924257271257</x:v>
      </x:c>
      <x:c r="I46" s="24" t="n">
        <x:v>-3594.249897392712</x:v>
      </x:c>
      <x:c r="J46" s="28" t="b">
        <x:v>0</x:v>
      </x:c>
      <x:c r="K46" s="28" t="b">
        <x:v>0</x:v>
      </x:c>
    </x:row>
    <x:row r="47" ht="20" customHeight="1">
      <x:c r="A47" s="6" t="str">
        <x:v>Mount Isa</x:v>
      </x:c>
      <x:c r="B47" s="6" t="n">
        <x:v>445</x:v>
      </x:c>
      <x:c r="C47" s="6" t="n">
        <x:v>2022</x:v>
      </x:c>
      <x:c r="D47" s="6" t="str">
        <x:v>rural_proxy</x:v>
      </x:c>
      <x:c r="E47" s="6" t="str">
        <x:v>remote</x:v>
      </x:c>
      <x:c r="F47" s="28" t="b">
        <x:v>0</x:v>
      </x:c>
      <x:c r="G47" s="6" t="n">
        <x:v>34.336419753086425</x:v>
      </x:c>
      <x:c r="H47" s="24" t="n">
        <x:v>6321.64612943083</x:v>
      </x:c>
      <x:c r="I47" s="24" t="n">
        <x:v>19453.61396358082</x:v>
      </x:c>
      <x:c r="J47" s="28" t="b">
        <x:v>1</x:v>
      </x:c>
      <x:c r="K47" s="28" t="b">
        <x:v>0</x:v>
      </x:c>
    </x:row>
    <x:row r="48" ht="20" customHeight="1">
      <x:c r="A48" s="6" t="str">
        <x:v>Moura</x:v>
      </x:c>
      <x:c r="B48" s="6" t="n">
        <x:v>2</x:v>
      </x:c>
      <x:c r="C48" s="6" t="n">
        <x:v>2022</x:v>
      </x:c>
      <x:c r="D48" s="6" t="str">
        <x:v>readiness</x:v>
      </x:c>
      <x:c r="E48" s="6" t="str">
        <x:v>regional</x:v>
      </x:c>
      <x:c r="F48" s="28" t="b">
        <x:v>0</x:v>
      </x:c>
      <x:c r="G48" s="6" t="n">
        <x:v>0.12345679012345678</x:v>
      </x:c>
      <x:c r="H48" s="24" t="n">
        <x:v>3755.6739072086075</x:v>
      </x:c>
      <x:c r="I48" s="24" t="n">
        <x:v>-3695.6930644304693</x:v>
      </x:c>
      <x:c r="J48" s="28" t="b">
        <x:v>0</x:v>
      </x:c>
      <x:c r="K48" s="28" t="b">
        <x:v>0</x:v>
      </x:c>
    </x:row>
    <x:row r="49" ht="20" customHeight="1">
      <x:c r="A49" s="6" t="str">
        <x:v>Mundubbera</x:v>
      </x:c>
      <x:c r="B49" s="6" t="n">
        <x:v>2</x:v>
      </x:c>
      <x:c r="C49" s="6" t="n">
        <x:v>2022</x:v>
      </x:c>
      <x:c r="D49" s="6" t="str">
        <x:v>readiness</x:v>
      </x:c>
      <x:c r="E49" s="6" t="str">
        <x:v>regional</x:v>
      </x:c>
      <x:c r="F49" s="28" t="b">
        <x:v>0</x:v>
      </x:c>
      <x:c r="G49" s="6" t="n">
        <x:v>0.12345679012345678</x:v>
      </x:c>
      <x:c r="H49" s="24" t="n">
        <x:v>3755.6739072086075</x:v>
      </x:c>
      <x:c r="I49" s="24" t="n">
        <x:v>-3695.6930644304693</x:v>
      </x:c>
      <x:c r="J49" s="28" t="b">
        <x:v>0</x:v>
      </x:c>
      <x:c r="K49" s="28" t="b">
        <x:v>0</x:v>
      </x:c>
    </x:row>
    <x:row r="50" ht="20" customHeight="1">
      <x:c r="A50" s="6" t="str">
        <x:v>Mungindi</x:v>
      </x:c>
      <x:c r="B50" s="6" t="n">
        <x:v>1</x:v>
      </x:c>
      <x:c r="C50" s="6" t="n">
        <x:v>2022</x:v>
      </x:c>
      <x:c r="D50" s="6" t="str">
        <x:v>readiness</x:v>
      </x:c>
      <x:c r="E50" s="6" t="str">
        <x:v>regional</x:v>
      </x:c>
      <x:c r="F50" s="28" t="b">
        <x:v>0</x:v>
      </x:c>
      <x:c r="G50" s="6" t="n">
        <x:v>0.06172839506172839</x:v>
      </x:c>
      <x:c r="H50" s="24" t="n">
        <x:v>3751.0442775789775</x:v>
      </x:c>
      <x:c r="I50" s="24" t="n">
        <x:v>-3721.0538561899084</x:v>
      </x:c>
      <x:c r="J50" s="28" t="b">
        <x:v>0</x:v>
      </x:c>
      <x:c r="K50" s="28" t="b">
        <x:v>0</x:v>
      </x:c>
    </x:row>
    <x:row r="51" ht="20" customHeight="1">
      <x:c r="A51" s="6" t="str">
        <x:v>Princess Alexandra</x:v>
      </x:c>
      <x:c r="B51" s="6" t="n">
        <x:v>1</x:v>
      </x:c>
      <x:c r="C51" s="6" t="n">
        <x:v>2022</x:v>
      </x:c>
      <x:c r="D51" s="6" t="str">
        <x:v>readiness</x:v>
      </x:c>
      <x:c r="E51" s="6" t="str">
        <x:v>metro</x:v>
      </x:c>
      <x:c r="F51" s="28" t="b">
        <x:v>0</x:v>
      </x:c>
      <x:c r="G51" s="6" t="n">
        <x:v>0.06172839506172839</x:v>
      </x:c>
      <x:c r="H51" s="24" t="n">
        <x:v>3751.0442775789775</x:v>
      </x:c>
      <x:c r="I51" s="24" t="n">
        <x:v>-3731.4241443746614</x:v>
      </x:c>
      <x:c r="J51" s="28" t="b">
        <x:v>0</x:v>
      </x:c>
      <x:c r="K51" s="28" t="b">
        <x:v>0</x:v>
      </x:c>
    </x:row>
    <x:row r="52" ht="20" customHeight="1">
      <x:c r="A52" s="6" t="str">
        <x:v>Proserpine</x:v>
      </x:c>
      <x:c r="B52" s="6" t="n">
        <x:v>260</x:v>
      </x:c>
      <x:c r="C52" s="6" t="n">
        <x:v>2022</x:v>
      </x:c>
      <x:c r="D52" s="6" t="str">
        <x:v>rural_proxy</x:v>
      </x:c>
      <x:c r="E52" s="6" t="str">
        <x:v>regional</x:v>
      </x:c>
      <x:c r="F52" s="28" t="b">
        <x:v>0</x:v>
      </x:c>
      <x:c r="G52" s="6" t="n">
        <x:v>16.049382716049383</x:v>
      </x:c>
      <x:c r="H52" s="24" t="n">
        <x:v>4950.118351653052</x:v>
      </x:c>
      <x:c r="I52" s="24" t="n">
        <x:v>2847.39120950488</x:v>
      </x:c>
      <x:c r="J52" s="28" t="b">
        <x:v>1</x:v>
      </x:c>
      <x:c r="K52" s="28" t="b">
        <x:v>0</x:v>
      </x:c>
    </x:row>
    <x:row r="53" ht="20" customHeight="1">
      <x:c r="A53" s="6" t="str">
        <x:v>Redcliffe</x:v>
      </x:c>
      <x:c r="B53" s="6" t="n">
        <x:v>1611</x:v>
      </x:c>
      <x:c r="C53" s="6" t="n">
        <x:v>2022</x:v>
      </x:c>
      <x:c r="D53" s="6" t="str">
        <x:v>scn</x:v>
      </x:c>
      <x:c r="E53" s="6" t="str">
        <x:v>metro</x:v>
      </x:c>
      <x:c r="F53" s="28" t="b">
        <x:v>0</x:v>
      </x:c>
      <x:c r="G53" s="6" t="n">
        <x:v>49.72222222222222</x:v>
      </x:c>
      <x:c r="H53" s="24" t="n">
        <x:v>7475.581314616014</x:v>
      </x:c>
      <x:c r="I53" s="24" t="n">
        <x:v>8328.435981460456</x:v>
      </x:c>
      <x:c r="J53" s="28" t="b">
        <x:v>1</x:v>
      </x:c>
      <x:c r="K53" s="28" t="b">
        <x:v>0</x:v>
      </x:c>
    </x:row>
    <x:row r="54" ht="20" customHeight="1">
      <x:c r="A54" s="6" t="str">
        <x:v>Redland</x:v>
      </x:c>
      <x:c r="B54" s="6" t="n">
        <x:v>1866</x:v>
      </x:c>
      <x:c r="C54" s="6" t="n">
        <x:v>2022</x:v>
      </x:c>
      <x:c r="D54" s="6" t="str">
        <x:v>scn</x:v>
      </x:c>
      <x:c r="E54" s="6" t="str">
        <x:v>metro</x:v>
      </x:c>
      <x:c r="F54" s="28" t="b">
        <x:v>0</x:v>
      </x:c>
      <x:c r="G54" s="6" t="n">
        <x:v>57.59259259259259</x:v>
      </x:c>
      <x:c r="H54" s="24" t="n">
        <x:v>8065.859092393793</x:v>
      </x:c>
      <x:c r="I54" s="24" t="n">
        <x:v>10239.725187232954</x:v>
      </x:c>
      <x:c r="J54" s="28" t="b">
        <x:v>1</x:v>
      </x:c>
      <x:c r="K54" s="28" t="b">
        <x:v>0</x:v>
      </x:c>
    </x:row>
    <x:row r="55" ht="20" customHeight="1">
      <x:c r="A55" s="6" t="str">
        <x:v>Richmond</x:v>
      </x:c>
      <x:c r="B55" s="6" t="n">
        <x:v>1</x:v>
      </x:c>
      <x:c r="C55" s="6" t="n">
        <x:v>2022</x:v>
      </x:c>
      <x:c r="D55" s="6" t="str">
        <x:v>readiness</x:v>
      </x:c>
      <x:c r="E55" s="6" t="str">
        <x:v>remote</x:v>
      </x:c>
      <x:c r="F55" s="28" t="b">
        <x:v>0</x:v>
      </x:c>
      <x:c r="G55" s="6" t="n">
        <x:v>0.0771604938271605</x:v>
      </x:c>
      <x:c r="H55" s="24" t="n">
        <x:v>3752.201684986385</x:v>
      </x:c>
      <x:c r="I55" s="24" t="n">
        <x:v>-3694.2797521931</x:v>
      </x:c>
      <x:c r="J55" s="28" t="b">
        <x:v>0</x:v>
      </x:c>
      <x:c r="K55" s="28" t="b">
        <x:v>0</x:v>
      </x:c>
    </x:row>
    <x:row r="56" ht="20" customHeight="1">
      <x:c r="A56" s="6" t="str">
        <x:v>Rockhampton</x:v>
      </x:c>
      <x:c r="B56" s="6" t="n">
        <x:v>1589</x:v>
      </x:c>
      <x:c r="C56" s="6" t="n">
        <x:v>2022</x:v>
      </x:c>
      <x:c r="D56" s="6" t="str">
        <x:v>regional_proxy</x:v>
      </x:c>
      <x:c r="E56" s="6" t="str">
        <x:v>regional</x:v>
      </x:c>
      <x:c r="F56" s="28" t="b">
        <x:v>0</x:v>
      </x:c>
      <x:c r="G56" s="6" t="n">
        <x:v>63.75617283950617</x:v>
      </x:c>
      <x:c r="H56" s="24" t="n">
        <x:v>8528.12761091231</x:v>
      </x:c>
      <x:c r="I56" s="24" t="n">
        <x:v>22447.47912078757</x:v>
      </x:c>
      <x:c r="J56" s="28" t="b">
        <x:v>1</x:v>
      </x:c>
      <x:c r="K56" s="28" t="b">
        <x:v>0</x:v>
      </x:c>
    </x:row>
    <x:row r="57" ht="20" customHeight="1">
      <x:c r="A57" s="6" t="str">
        <x:v>Roma</x:v>
      </x:c>
      <x:c r="B57" s="6" t="n">
        <x:v>153</x:v>
      </x:c>
      <x:c r="C57" s="6" t="n">
        <x:v>2022</x:v>
      </x:c>
      <x:c r="D57" s="6" t="str">
        <x:v>rural_proxy</x:v>
      </x:c>
      <x:c r="E57" s="6" t="str">
        <x:v>regional</x:v>
      </x:c>
      <x:c r="F57" s="28" t="b">
        <x:v>0</x:v>
      </x:c>
      <x:c r="G57" s="6" t="n">
        <x:v>9.444444444444445</x:v>
      </x:c>
      <x:c r="H57" s="24" t="n">
        <x:v>4454.747981282681</x:v>
      </x:c>
      <x:c r="I57" s="24" t="n">
        <x:v>133.78649124487129</x:v>
      </x:c>
      <x:c r="J57" s="28" t="b">
        <x:v>1</x:v>
      </x:c>
      <x:c r="K57" s="28" t="b">
        <x:v>0</x:v>
      </x:c>
    </x:row>
    <x:row r="58" ht="20" customHeight="1">
      <x:c r="A58" s="6" t="str">
        <x:v>Royal Brisbane &amp; Women's</x:v>
      </x:c>
      <x:c r="B58" s="6" t="n">
        <x:v>4549</x:v>
      </x:c>
      <x:c r="C58" s="6" t="n">
        <x:v>2022</x:v>
      </x:c>
      <x:c r="D58" s="6" t="str">
        <x:v>hub</x:v>
      </x:c>
      <x:c r="E58" s="6" t="str">
        <x:v>metro</x:v>
      </x:c>
      <x:c r="F58" s="28" t="b">
        <x:v>0</x:v>
      </x:c>
      <x:c r="G58" s="6" t="n">
        <x:v>0</x:v>
      </x:c>
      <x:c r="H58" s="24" t="n">
        <x:v>3746.414647949348</x:v>
      </x:c>
      <x:c r="I58" s="24" t="n">
        <x:v>-3746.414647949348</x:v>
      </x:c>
      <x:c r="J58" s="28" t="b">
        <x:v>0</x:v>
      </x:c>
      <x:c r="K58" s="28" t="b">
        <x:v>0</x:v>
      </x:c>
    </x:row>
    <x:row r="59" ht="20" customHeight="1">
      <x:c r="A59" s="6" t="str">
        <x:v>St George</x:v>
      </x:c>
      <x:c r="B59" s="6" t="n">
        <x:v>33</x:v>
      </x:c>
      <x:c r="C59" s="6" t="n">
        <x:v>2022</x:v>
      </x:c>
      <x:c r="D59" s="6" t="str">
        <x:v>rural_proxy</x:v>
      </x:c>
      <x:c r="E59" s="6" t="str">
        <x:v>regional</x:v>
      </x:c>
      <x:c r="F59" s="28" t="b">
        <x:v>0</x:v>
      </x:c>
      <x:c r="G59" s="6" t="n">
        <x:v>2.037037037037037</x:v>
      </x:c>
      <x:c r="H59" s="24" t="n">
        <x:v>3899.1924257271257</x:v>
      </x:c>
      <x:c r="I59" s="24" t="n">
        <x:v>-2909.5085198878496</x:v>
      </x:c>
      <x:c r="J59" s="28" t="b">
        <x:v>1</x:v>
      </x:c>
      <x:c r="K59" s="28" t="b">
        <x:v>0</x:v>
      </x:c>
    </x:row>
    <x:row r="60" ht="20" customHeight="1">
      <x:c r="A60" s="6" t="str">
        <x:v>Stanthorpe</x:v>
      </x:c>
      <x:c r="B60" s="6" t="n">
        <x:v>97</x:v>
      </x:c>
      <x:c r="C60" s="6" t="n">
        <x:v>2022</x:v>
      </x:c>
      <x:c r="D60" s="6" t="str">
        <x:v>rural_proxy</x:v>
      </x:c>
      <x:c r="E60" s="6" t="str">
        <x:v>regional</x:v>
      </x:c>
      <x:c r="F60" s="28" t="b">
        <x:v>0</x:v>
      </x:c>
      <x:c r="G60" s="6" t="n">
        <x:v>5.987654320987654</x:v>
      </x:c>
      <x:c r="H60" s="24" t="n">
        <x:v>4195.488722023422</x:v>
      </x:c>
      <x:c r="I60" s="24" t="n">
        <x:v>-1286.417847283732</x:v>
      </x:c>
      <x:c r="J60" s="28" t="b">
        <x:v>1</x:v>
      </x:c>
      <x:c r="K60" s="28" t="b">
        <x:v>0</x:v>
      </x:c>
    </x:row>
    <x:row r="61" ht="20" customHeight="1">
      <x:c r="A61" s="6" t="str">
        <x:v>Sunshine Coast University</x:v>
      </x:c>
      <x:c r="B61" s="6" t="n">
        <x:v>3312</x:v>
      </x:c>
      <x:c r="C61" s="6" t="n">
        <x:v>2022</x:v>
      </x:c>
      <x:c r="D61" s="6" t="str">
        <x:v>scn</x:v>
      </x:c>
      <x:c r="E61" s="6" t="str">
        <x:v>metro</x:v>
      </x:c>
      <x:c r="F61" s="28" t="b">
        <x:v>0</x:v>
      </x:c>
      <x:c r="G61" s="6" t="n">
        <x:v>102.22222222222223</x:v>
      </x:c>
      <x:c r="H61" s="24" t="n">
        <x:v>11413.081314616014</x:v>
      </x:c>
      <x:c r="I61" s="24" t="n">
        <x:v>21077.859271731144</x:v>
      </x:c>
      <x:c r="J61" s="28" t="b">
        <x:v>1</x:v>
      </x:c>
      <x:c r="K61" s="28" t="b">
        <x:v>0</x:v>
      </x:c>
    </x:row>
    <x:row r="62" ht="20" customHeight="1">
      <x:c r="A62" s="6" t="str">
        <x:v>Tara</x:v>
      </x:c>
      <x:c r="B62" s="6" t="n">
        <x:v>1</x:v>
      </x:c>
      <x:c r="C62" s="6" t="n">
        <x:v>2022</x:v>
      </x:c>
      <x:c r="D62" s="6" t="str">
        <x:v>readiness</x:v>
      </x:c>
      <x:c r="E62" s="6" t="str">
        <x:v>regional</x:v>
      </x:c>
      <x:c r="F62" s="28" t="b">
        <x:v>0</x:v>
      </x:c>
      <x:c r="G62" s="6" t="n">
        <x:v>0.06172839506172839</x:v>
      </x:c>
      <x:c r="H62" s="24" t="n">
        <x:v>3751.0442775789775</x:v>
      </x:c>
      <x:c r="I62" s="24" t="n">
        <x:v>-3721.0538561899084</x:v>
      </x:c>
      <x:c r="J62" s="28" t="b">
        <x:v>0</x:v>
      </x:c>
      <x:c r="K62" s="28" t="b">
        <x:v>0</x:v>
      </x:c>
    </x:row>
    <x:row r="63" ht="20" customHeight="1">
      <x:c r="A63" s="6" t="str">
        <x:v>Theodore</x:v>
      </x:c>
      <x:c r="B63" s="6" t="n">
        <x:v>1</x:v>
      </x:c>
      <x:c r="C63" s="6" t="n">
        <x:v>2022</x:v>
      </x:c>
      <x:c r="D63" s="6" t="str">
        <x:v>readiness</x:v>
      </x:c>
      <x:c r="E63" s="6" t="str">
        <x:v>regional</x:v>
      </x:c>
      <x:c r="F63" s="28" t="b">
        <x:v>0</x:v>
      </x:c>
      <x:c r="G63" s="6" t="n">
        <x:v>0.06172839506172839</x:v>
      </x:c>
      <x:c r="H63" s="24" t="n">
        <x:v>3751.0442775789775</x:v>
      </x:c>
      <x:c r="I63" s="24" t="n">
        <x:v>-3721.0538561899084</x:v>
      </x:c>
      <x:c r="J63" s="28" t="b">
        <x:v>0</x:v>
      </x:c>
      <x:c r="K63" s="28" t="b">
        <x:v>0</x:v>
      </x:c>
    </x:row>
    <x:row r="64" ht="20" customHeight="1">
      <x:c r="A64" s="6" t="str">
        <x:v>Thursday Island</x:v>
      </x:c>
      <x:c r="B64" s="6" t="n">
        <x:v>89</x:v>
      </x:c>
      <x:c r="C64" s="6" t="n">
        <x:v>2022</x:v>
      </x:c>
      <x:c r="D64" s="6" t="str">
        <x:v>rural_proxy</x:v>
      </x:c>
      <x:c r="E64" s="6" t="str">
        <x:v>remote</x:v>
      </x:c>
      <x:c r="F64" s="28" t="b">
        <x:v>0</x:v>
      </x:c>
      <x:c r="G64" s="6" t="n">
        <x:v>6.867283950617284</x:v>
      </x:c>
      <x:c r="H64" s="24" t="n">
        <x:v>4261.460944245644</x:v>
      </x:c>
      <x:c r="I64" s="24" t="n">
        <x:v>893.5910743566865</x:v>
      </x:c>
      <x:c r="J64" s="28" t="b">
        <x:v>1</x:v>
      </x:c>
      <x:c r="K64" s="28" t="b">
        <x:v>0</x:v>
      </x:c>
    </x:row>
    <x:row r="65" ht="20" customHeight="1">
      <x:c r="A65" s="6" t="str">
        <x:v>Toowoomba</x:v>
      </x:c>
      <x:c r="B65" s="6" t="n">
        <x:v>2049</x:v>
      </x:c>
      <x:c r="C65" s="6" t="n">
        <x:v>2022</x:v>
      </x:c>
      <x:c r="D65" s="6" t="str">
        <x:v>regional_proxy</x:v>
      </x:c>
      <x:c r="E65" s="6" t="str">
        <x:v>regional</x:v>
      </x:c>
      <x:c r="F65" s="28" t="b">
        <x:v>0</x:v>
      </x:c>
      <x:c r="G65" s="6" t="n">
        <x:v>82.21296296296298</x:v>
      </x:c>
      <x:c r="H65" s="24" t="n">
        <x:v>9912.386870171573</x:v>
      </x:c>
      <x:c r="I65" s="24" t="n">
        <x:v>30030.355856859936</x:v>
      </x:c>
      <x:c r="J65" s="28" t="b">
        <x:v>1</x:v>
      </x:c>
      <x:c r="K65" s="28" t="b">
        <x:v>0</x:v>
      </x:c>
    </x:row>
    <x:row r="66" ht="20" customHeight="1">
      <x:c r="A66" s="6" t="str">
        <x:v>Townsville University</x:v>
      </x:c>
      <x:c r="B66" s="6" t="n">
        <x:v>2628</x:v>
      </x:c>
      <x:c r="C66" s="6" t="n">
        <x:v>2022</x:v>
      </x:c>
      <x:c r="D66" s="6" t="str">
        <x:v>hub</x:v>
      </x:c>
      <x:c r="E66" s="6" t="str">
        <x:v>regional</x:v>
      </x:c>
      <x:c r="F66" s="28" t="b">
        <x:v>0</x:v>
      </x:c>
      <x:c r="G66" s="6" t="n">
        <x:v>0</x:v>
      </x:c>
      <x:c r="H66" s="24" t="n">
        <x:v>3746.414647949348</x:v>
      </x:c>
      <x:c r="I66" s="24" t="n">
        <x:v>-3746.414647949348</x:v>
      </x:c>
      <x:c r="J66" s="28" t="b">
        <x:v>0</x:v>
      </x:c>
      <x:c r="K66" s="28" t="b">
        <x:v>0</x:v>
      </x:c>
    </x:row>
    <x:row r="67" ht="20" customHeight="1">
      <x:c r="A67" s="6" t="str">
        <x:v>Warwick</x:v>
      </x:c>
      <x:c r="B67" s="6" t="n">
        <x:v>150</x:v>
      </x:c>
      <x:c r="C67" s="6" t="n">
        <x:v>2022</x:v>
      </x:c>
      <x:c r="D67" s="6" t="str">
        <x:v>rural_proxy</x:v>
      </x:c>
      <x:c r="E67" s="6" t="str">
        <x:v>regional</x:v>
      </x:c>
      <x:c r="F67" s="28" t="b">
        <x:v>0</x:v>
      </x:c>
      <x:c r="G67" s="6" t="n">
        <x:v>9.259259259259258</x:v>
      </x:c>
      <x:c r="H67" s="24" t="n">
        <x:v>4440.859092393792</x:v>
      </x:c>
      <x:c r="I67" s="24" t="n">
        <x:v>57.70411596655322</x:v>
      </x:c>
      <x:c r="J67" s="28" t="b">
        <x:v>1</x:v>
      </x:c>
      <x:c r="K67" s="28" t="b">
        <x:v>0</x:v>
      </x:c>
    </x:row>
    <x:row r="68" ht="20" customHeight="1">
      <x:c r="A68" s="6" t="str">
        <x:v>Woorabinda</x:v>
      </x:c>
      <x:c r="B68" s="6" t="n">
        <x:v>1</x:v>
      </x:c>
      <x:c r="C68" s="6" t="n">
        <x:v>2022</x:v>
      </x:c>
      <x:c r="D68" s="6" t="str">
        <x:v>readiness</x:v>
      </x:c>
      <x:c r="E68" s="6" t="str">
        <x:v>remote</x:v>
      </x:c>
      <x:c r="F68" s="28" t="b">
        <x:v>0</x:v>
      </x:c>
      <x:c r="G68" s="6" t="n">
        <x:v>0.0771604938271605</x:v>
      </x:c>
      <x:c r="H68" s="24" t="n">
        <x:v>3752.201684986385</x:v>
      </x:c>
      <x:c r="I68" s="24" t="n">
        <x:v>-3694.2797521931</x:v>
      </x:c>
      <x:c r="J68" s="28" t="b">
        <x:v>0</x:v>
      </x:c>
      <x:c r="K68" s="28" t="b">
        <x:v>0</x:v>
      </x:c>
    </x:row>
    <x:row r="69" ht="20" customHeight="1">
      <x:c r="A69" s="6" t="str">
        <x:v>Yarrabah Emergency Service</x:v>
      </x:c>
      <x:c r="B69" s="6" t="n">
        <x:v>8</x:v>
      </x:c>
      <x:c r="C69" s="6" t="n">
        <x:v>2022</x:v>
      </x:c>
      <x:c r="D69" s="6" t="str">
        <x:v>readiness</x:v>
      </x:c>
      <x:c r="E69" s="6" t="str">
        <x:v>regional</x:v>
      </x:c>
      <x:c r="F69" s="28" t="b">
        <x:v>0</x:v>
      </x:c>
      <x:c r="G69" s="6" t="n">
        <x:v>0.49382716049382713</x:v>
      </x:c>
      <x:c r="H69" s="24" t="n">
        <x:v>3783.451684986385</x:v>
      </x:c>
      <x:c r="I69" s="24" t="n">
        <x:v>-3543.528313873833</x:v>
      </x:c>
      <x:c r="J69" s="28" t="b">
        <x:v>0</x:v>
      </x:c>
      <x:c r="K69" s="28" t="b">
        <x:v>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23582cd6b8142f9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0" customHeight="1">
      <x:c r="A1" s="3" t="str">
        <x:v>Survival frontier | Panda Vision v4</x:v>
      </x:c>
      <x:c r="B1" s="3"/>
      <x:c r="C1" s="3"/>
      <x:c r="D1" s="3"/>
      <x:c r="E1" s="3"/>
      <x:c r="F1" s="3"/>
      <x:c r="G1" s="3"/>
      <x:c r="H1" s="3"/>
      <x:c r="I1" s="3"/>
    </x:row>
    <x:row r="2" ht="45" customHeight="1">
      <x:c r="A2" s="7" t="str">
        <x:v>108 exploratory combinations; survival effects, utilities and 40-year trajectories are assumed, not calibrated.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2" t="str">
        <x:v>survival_gain</x:v>
      </x:c>
      <x:c r="B4" s="12" t="str">
        <x:v>major_share</x:v>
      </x:c>
      <x:c r="C4" s="12" t="str">
        <x:v>discount</x:v>
      </x:c>
      <x:c r="D4" s="12" t="str">
        <x:v>wtp</x:v>
      </x:c>
      <x:c r="E4" s="12" t="str">
        <x:v>extra_survivors</x:v>
      </x:c>
      <x:c r="F4" s="12" t="str">
        <x:v>major_morbidity_survivors</x:v>
      </x:c>
      <x:c r="G4" s="12" t="str">
        <x:v>qalys</x:v>
      </x:c>
      <x:c r="H4" s="12" t="str">
        <x:v>costs</x:v>
      </x:c>
      <x:c r="I4" s="12" t="str">
        <x:v>total_nmb_including_acute_base</x:v>
      </x:c>
    </x:row>
    <x:row r="5" ht="20" customHeight="1">
      <x:c r="A5" s="22" t="n">
        <x:v>0</x:v>
      </x:c>
      <x:c r="B5" s="22" t="n">
        <x:v>0.1</x:v>
      </x:c>
      <x:c r="C5" s="22" t="n">
        <x:v>0</x:v>
      </x:c>
      <x:c r="D5" s="6" t="n">
        <x:v>0</x:v>
      </x:c>
      <x:c r="E5" s="6" t="n">
        <x:v>0</x:v>
      </x:c>
      <x:c r="F5" s="6" t="n">
        <x:v>0</x:v>
      </x:c>
      <x:c r="G5" s="6" t="n">
        <x:v>0</x:v>
      </x:c>
      <x:c r="H5" s="24" t="n">
        <x:v>0</x:v>
      </x:c>
      <x:c r="I5" s="24" t="n">
        <x:v>4167.437050011353</x:v>
      </x:c>
    </x:row>
    <x:row r="6" ht="20" customHeight="1">
      <x:c r="A6" s="22" t="n">
        <x:v>0</x:v>
      </x:c>
      <x:c r="B6" s="22" t="n">
        <x:v>0.1</x:v>
      </x:c>
      <x:c r="C6" s="22" t="n">
        <x:v>0</x:v>
      </x:c>
      <x:c r="D6" s="6" t="n">
        <x:v>50000</x:v>
      </x:c>
      <x:c r="E6" s="6" t="n">
        <x:v>0</x:v>
      </x:c>
      <x:c r="F6" s="6" t="n">
        <x:v>0</x:v>
      </x:c>
      <x:c r="G6" s="6" t="n">
        <x:v>0</x:v>
      </x:c>
      <x:c r="H6" s="24" t="n">
        <x:v>0</x:v>
      </x:c>
      <x:c r="I6" s="24" t="n">
        <x:v>4167.437050011353</x:v>
      </x:c>
    </x:row>
    <x:row r="7" ht="20" customHeight="1">
      <x:c r="A7" s="22" t="n">
        <x:v>0</x:v>
      </x:c>
      <x:c r="B7" s="22" t="n">
        <x:v>0.1</x:v>
      </x:c>
      <x:c r="C7" s="22" t="n">
        <x:v>0</x:v>
      </x:c>
      <x:c r="D7" s="6" t="n">
        <x:v>100000</x:v>
      </x:c>
      <x:c r="E7" s="6" t="n">
        <x:v>0</x:v>
      </x:c>
      <x:c r="F7" s="6" t="n">
        <x:v>0</x:v>
      </x:c>
      <x:c r="G7" s="6" t="n">
        <x:v>0</x:v>
      </x:c>
      <x:c r="H7" s="24" t="n">
        <x:v>0</x:v>
      </x:c>
      <x:c r="I7" s="24" t="n">
        <x:v>4167.437050011353</x:v>
      </x:c>
    </x:row>
    <x:row r="8" ht="20" customHeight="1">
      <x:c r="A8" s="22" t="n">
        <x:v>0</x:v>
      </x:c>
      <x:c r="B8" s="22" t="n">
        <x:v>0.1</x:v>
      </x:c>
      <x:c r="C8" s="22" t="n">
        <x:v>0.03</x:v>
      </x:c>
      <x:c r="D8" s="6" t="n">
        <x:v>0</x:v>
      </x:c>
      <x:c r="E8" s="6" t="n">
        <x:v>0</x:v>
      </x:c>
      <x:c r="F8" s="6" t="n">
        <x:v>0</x:v>
      </x:c>
      <x:c r="G8" s="6" t="n">
        <x:v>0</x:v>
      </x:c>
      <x:c r="H8" s="24" t="n">
        <x:v>0</x:v>
      </x:c>
      <x:c r="I8" s="24" t="n">
        <x:v>4167.437050011353</x:v>
      </x:c>
    </x:row>
    <x:row r="9" ht="20" customHeight="1">
      <x:c r="A9" s="22" t="n">
        <x:v>0</x:v>
      </x:c>
      <x:c r="B9" s="22" t="n">
        <x:v>0.1</x:v>
      </x:c>
      <x:c r="C9" s="22" t="n">
        <x:v>0.03</x:v>
      </x:c>
      <x:c r="D9" s="6" t="n">
        <x:v>50000</x:v>
      </x:c>
      <x:c r="E9" s="6" t="n">
        <x:v>0</x:v>
      </x:c>
      <x:c r="F9" s="6" t="n">
        <x:v>0</x:v>
      </x:c>
      <x:c r="G9" s="6" t="n">
        <x:v>0</x:v>
      </x:c>
      <x:c r="H9" s="24" t="n">
        <x:v>0</x:v>
      </x:c>
      <x:c r="I9" s="24" t="n">
        <x:v>4167.437050011353</x:v>
      </x:c>
    </x:row>
    <x:row r="10" ht="20" customHeight="1">
      <x:c r="A10" s="22" t="n">
        <x:v>0</x:v>
      </x:c>
      <x:c r="B10" s="22" t="n">
        <x:v>0.1</x:v>
      </x:c>
      <x:c r="C10" s="22" t="n">
        <x:v>0.03</x:v>
      </x:c>
      <x:c r="D10" s="6" t="n">
        <x:v>100000</x:v>
      </x:c>
      <x:c r="E10" s="6" t="n">
        <x:v>0</x:v>
      </x:c>
      <x:c r="F10" s="6" t="n">
        <x:v>0</x:v>
      </x:c>
      <x:c r="G10" s="6" t="n">
        <x:v>0</x:v>
      </x:c>
      <x:c r="H10" s="24" t="n">
        <x:v>0</x:v>
      </x:c>
      <x:c r="I10" s="24" t="n">
        <x:v>4167.437050011353</x:v>
      </x:c>
    </x:row>
    <x:row r="11" ht="20" customHeight="1">
      <x:c r="A11" s="22" t="n">
        <x:v>0</x:v>
      </x:c>
      <x:c r="B11" s="22" t="n">
        <x:v>0.1</x:v>
      </x:c>
      <x:c r="C11" s="22" t="n">
        <x:v>0.05</x:v>
      </x:c>
      <x:c r="D11" s="6" t="n">
        <x:v>0</x:v>
      </x:c>
      <x:c r="E11" s="6" t="n">
        <x:v>0</x:v>
      </x:c>
      <x:c r="F11" s="6" t="n">
        <x:v>0</x:v>
      </x:c>
      <x:c r="G11" s="6" t="n">
        <x:v>0</x:v>
      </x:c>
      <x:c r="H11" s="24" t="n">
        <x:v>0</x:v>
      </x:c>
      <x:c r="I11" s="24" t="n">
        <x:v>4167.437050011353</x:v>
      </x:c>
    </x:row>
    <x:row r="12" ht="20" customHeight="1">
      <x:c r="A12" s="22" t="n">
        <x:v>0</x:v>
      </x:c>
      <x:c r="B12" s="22" t="n">
        <x:v>0.1</x:v>
      </x:c>
      <x:c r="C12" s="22" t="n">
        <x:v>0.05</x:v>
      </x:c>
      <x:c r="D12" s="6" t="n">
        <x:v>50000</x:v>
      </x:c>
      <x:c r="E12" s="6" t="n">
        <x:v>0</x:v>
      </x:c>
      <x:c r="F12" s="6" t="n">
        <x:v>0</x:v>
      </x:c>
      <x:c r="G12" s="6" t="n">
        <x:v>0</x:v>
      </x:c>
      <x:c r="H12" s="24" t="n">
        <x:v>0</x:v>
      </x:c>
      <x:c r="I12" s="24" t="n">
        <x:v>4167.437050011353</x:v>
      </x:c>
    </x:row>
    <x:row r="13" ht="20" customHeight="1">
      <x:c r="A13" s="22" t="n">
        <x:v>0</x:v>
      </x:c>
      <x:c r="B13" s="22" t="n">
        <x:v>0.1</x:v>
      </x:c>
      <x:c r="C13" s="22" t="n">
        <x:v>0.05</x:v>
      </x:c>
      <x:c r="D13" s="6" t="n">
        <x:v>100000</x:v>
      </x:c>
      <x:c r="E13" s="6" t="n">
        <x:v>0</x:v>
      </x:c>
      <x:c r="F13" s="6" t="n">
        <x:v>0</x:v>
      </x:c>
      <x:c r="G13" s="6" t="n">
        <x:v>0</x:v>
      </x:c>
      <x:c r="H13" s="24" t="n">
        <x:v>0</x:v>
      </x:c>
      <x:c r="I13" s="24" t="n">
        <x:v>4167.437050011353</x:v>
      </x:c>
    </x:row>
    <x:row r="14" ht="20" customHeight="1">
      <x:c r="A14" s="22" t="n">
        <x:v>0</x:v>
      </x:c>
      <x:c r="B14" s="22" t="n">
        <x:v>0.35</x:v>
      </x:c>
      <x:c r="C14" s="22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24" t="n">
        <x:v>0</x:v>
      </x:c>
      <x:c r="I14" s="24" t="n">
        <x:v>4167.437050011353</x:v>
      </x:c>
    </x:row>
    <x:row r="15" ht="20" customHeight="1">
      <x:c r="A15" s="22" t="n">
        <x:v>0</x:v>
      </x:c>
      <x:c r="B15" s="22" t="n">
        <x:v>0.35</x:v>
      </x:c>
      <x:c r="C15" s="22" t="n">
        <x:v>0</x:v>
      </x:c>
      <x:c r="D15" s="6" t="n">
        <x:v>50000</x:v>
      </x:c>
      <x:c r="E15" s="6" t="n">
        <x:v>0</x:v>
      </x:c>
      <x:c r="F15" s="6" t="n">
        <x:v>0</x:v>
      </x:c>
      <x:c r="G15" s="6" t="n">
        <x:v>0</x:v>
      </x:c>
      <x:c r="H15" s="24" t="n">
        <x:v>0</x:v>
      </x:c>
      <x:c r="I15" s="24" t="n">
        <x:v>4167.437050011353</x:v>
      </x:c>
    </x:row>
    <x:row r="16" ht="20" customHeight="1">
      <x:c r="A16" s="22" t="n">
        <x:v>0</x:v>
      </x:c>
      <x:c r="B16" s="22" t="n">
        <x:v>0.35</x:v>
      </x:c>
      <x:c r="C16" s="22" t="n">
        <x:v>0</x:v>
      </x:c>
      <x:c r="D16" s="6" t="n">
        <x:v>100000</x:v>
      </x:c>
      <x:c r="E16" s="6" t="n">
        <x:v>0</x:v>
      </x:c>
      <x:c r="F16" s="6" t="n">
        <x:v>0</x:v>
      </x:c>
      <x:c r="G16" s="6" t="n">
        <x:v>0</x:v>
      </x:c>
      <x:c r="H16" s="24" t="n">
        <x:v>0</x:v>
      </x:c>
      <x:c r="I16" s="24" t="n">
        <x:v>4167.437050011353</x:v>
      </x:c>
    </x:row>
    <x:row r="17" ht="20" customHeight="1">
      <x:c r="A17" s="22" t="n">
        <x:v>0</x:v>
      </x:c>
      <x:c r="B17" s="22" t="n">
        <x:v>0.35</x:v>
      </x:c>
      <x:c r="C17" s="22" t="n">
        <x:v>0.03</x:v>
      </x:c>
      <x:c r="D17" s="6" t="n">
        <x:v>0</x:v>
      </x:c>
      <x:c r="E17" s="6" t="n">
        <x:v>0</x:v>
      </x:c>
      <x:c r="F17" s="6" t="n">
        <x:v>0</x:v>
      </x:c>
      <x:c r="G17" s="6" t="n">
        <x:v>0</x:v>
      </x:c>
      <x:c r="H17" s="24" t="n">
        <x:v>0</x:v>
      </x:c>
      <x:c r="I17" s="24" t="n">
        <x:v>4167.437050011353</x:v>
      </x:c>
    </x:row>
    <x:row r="18" ht="20" customHeight="1">
      <x:c r="A18" s="22" t="n">
        <x:v>0</x:v>
      </x:c>
      <x:c r="B18" s="22" t="n">
        <x:v>0.35</x:v>
      </x:c>
      <x:c r="C18" s="22" t="n">
        <x:v>0.03</x:v>
      </x:c>
      <x:c r="D18" s="6" t="n">
        <x:v>50000</x:v>
      </x:c>
      <x:c r="E18" s="6" t="n">
        <x:v>0</x:v>
      </x:c>
      <x:c r="F18" s="6" t="n">
        <x:v>0</x:v>
      </x:c>
      <x:c r="G18" s="6" t="n">
        <x:v>0</x:v>
      </x:c>
      <x:c r="H18" s="24" t="n">
        <x:v>0</x:v>
      </x:c>
      <x:c r="I18" s="24" t="n">
        <x:v>4167.437050011353</x:v>
      </x:c>
    </x:row>
    <x:row r="19" ht="20" customHeight="1">
      <x:c r="A19" s="22" t="n">
        <x:v>0</x:v>
      </x:c>
      <x:c r="B19" s="22" t="n">
        <x:v>0.35</x:v>
      </x:c>
      <x:c r="C19" s="22" t="n">
        <x:v>0.03</x:v>
      </x:c>
      <x:c r="D19" s="6" t="n">
        <x:v>100000</x:v>
      </x:c>
      <x:c r="E19" s="6" t="n">
        <x:v>0</x:v>
      </x:c>
      <x:c r="F19" s="6" t="n">
        <x:v>0</x:v>
      </x:c>
      <x:c r="G19" s="6" t="n">
        <x:v>0</x:v>
      </x:c>
      <x:c r="H19" s="24" t="n">
        <x:v>0</x:v>
      </x:c>
      <x:c r="I19" s="24" t="n">
        <x:v>4167.437050011353</x:v>
      </x:c>
    </x:row>
    <x:row r="20" ht="20" customHeight="1">
      <x:c r="A20" s="22" t="n">
        <x:v>0</x:v>
      </x:c>
      <x:c r="B20" s="22" t="n">
        <x:v>0.35</x:v>
      </x:c>
      <x:c r="C20" s="22" t="n">
        <x:v>0.05</x:v>
      </x:c>
      <x:c r="D20" s="6" t="n">
        <x:v>0</x:v>
      </x:c>
      <x:c r="E20" s="6" t="n">
        <x:v>0</x:v>
      </x:c>
      <x:c r="F20" s="6" t="n">
        <x:v>0</x:v>
      </x:c>
      <x:c r="G20" s="6" t="n">
        <x:v>0</x:v>
      </x:c>
      <x:c r="H20" s="24" t="n">
        <x:v>0</x:v>
      </x:c>
      <x:c r="I20" s="24" t="n">
        <x:v>4167.437050011353</x:v>
      </x:c>
    </x:row>
    <x:row r="21" ht="20" customHeight="1">
      <x:c r="A21" s="22" t="n">
        <x:v>0</x:v>
      </x:c>
      <x:c r="B21" s="22" t="n">
        <x:v>0.35</x:v>
      </x:c>
      <x:c r="C21" s="22" t="n">
        <x:v>0.05</x:v>
      </x:c>
      <x:c r="D21" s="6" t="n">
        <x:v>50000</x:v>
      </x:c>
      <x:c r="E21" s="6" t="n">
        <x:v>0</x:v>
      </x:c>
      <x:c r="F21" s="6" t="n">
        <x:v>0</x:v>
      </x:c>
      <x:c r="G21" s="6" t="n">
        <x:v>0</x:v>
      </x:c>
      <x:c r="H21" s="24" t="n">
        <x:v>0</x:v>
      </x:c>
      <x:c r="I21" s="24" t="n">
        <x:v>4167.437050011353</x:v>
      </x:c>
    </x:row>
    <x:row r="22" ht="20" customHeight="1">
      <x:c r="A22" s="22" t="n">
        <x:v>0</x:v>
      </x:c>
      <x:c r="B22" s="22" t="n">
        <x:v>0.35</x:v>
      </x:c>
      <x:c r="C22" s="22" t="n">
        <x:v>0.05</x:v>
      </x:c>
      <x:c r="D22" s="6" t="n">
        <x:v>100000</x:v>
      </x:c>
      <x:c r="E22" s="6" t="n">
        <x:v>0</x:v>
      </x:c>
      <x:c r="F22" s="6" t="n">
        <x:v>0</x:v>
      </x:c>
      <x:c r="G22" s="6" t="n">
        <x:v>0</x:v>
      </x:c>
      <x:c r="H22" s="24" t="n">
        <x:v>0</x:v>
      </x:c>
      <x:c r="I22" s="24" t="n">
        <x:v>4167.437050011353</x:v>
      </x:c>
    </x:row>
    <x:row r="23" ht="20" customHeight="1">
      <x:c r="A23" s="22" t="n">
        <x:v>0</x:v>
      </x:c>
      <x:c r="B23" s="22" t="n">
        <x:v>0.7</x:v>
      </x:c>
      <x:c r="C23" s="22" t="n">
        <x:v>0</x:v>
      </x:c>
      <x:c r="D23" s="6" t="n">
        <x:v>0</x:v>
      </x:c>
      <x:c r="E23" s="6" t="n">
        <x:v>0</x:v>
      </x:c>
      <x:c r="F23" s="6" t="n">
        <x:v>0</x:v>
      </x:c>
      <x:c r="G23" s="6" t="n">
        <x:v>0</x:v>
      </x:c>
      <x:c r="H23" s="24" t="n">
        <x:v>0</x:v>
      </x:c>
      <x:c r="I23" s="24" t="n">
        <x:v>4167.437050011353</x:v>
      </x:c>
    </x:row>
    <x:row r="24" ht="20" customHeight="1">
      <x:c r="A24" s="22" t="n">
        <x:v>0</x:v>
      </x:c>
      <x:c r="B24" s="22" t="n">
        <x:v>0.7</x:v>
      </x:c>
      <x:c r="C24" s="22" t="n">
        <x:v>0</x:v>
      </x:c>
      <x:c r="D24" s="6" t="n">
        <x:v>50000</x:v>
      </x:c>
      <x:c r="E24" s="6" t="n">
        <x:v>0</x:v>
      </x:c>
      <x:c r="F24" s="6" t="n">
        <x:v>0</x:v>
      </x:c>
      <x:c r="G24" s="6" t="n">
        <x:v>0</x:v>
      </x:c>
      <x:c r="H24" s="24" t="n">
        <x:v>0</x:v>
      </x:c>
      <x:c r="I24" s="24" t="n">
        <x:v>4167.437050011353</x:v>
      </x:c>
    </x:row>
    <x:row r="25" ht="20" customHeight="1">
      <x:c r="A25" s="22" t="n">
        <x:v>0</x:v>
      </x:c>
      <x:c r="B25" s="22" t="n">
        <x:v>0.7</x:v>
      </x:c>
      <x:c r="C25" s="22" t="n">
        <x:v>0</x:v>
      </x:c>
      <x:c r="D25" s="6" t="n">
        <x:v>100000</x:v>
      </x:c>
      <x:c r="E25" s="6" t="n">
        <x:v>0</x:v>
      </x:c>
      <x:c r="F25" s="6" t="n">
        <x:v>0</x:v>
      </x:c>
      <x:c r="G25" s="6" t="n">
        <x:v>0</x:v>
      </x:c>
      <x:c r="H25" s="24" t="n">
        <x:v>0</x:v>
      </x:c>
      <x:c r="I25" s="24" t="n">
        <x:v>4167.437050011353</x:v>
      </x:c>
    </x:row>
    <x:row r="26" ht="20" customHeight="1">
      <x:c r="A26" s="22" t="n">
        <x:v>0</x:v>
      </x:c>
      <x:c r="B26" s="22" t="n">
        <x:v>0.7</x:v>
      </x:c>
      <x:c r="C26" s="22" t="n">
        <x:v>0.03</x:v>
      </x:c>
      <x:c r="D26" s="6" t="n">
        <x:v>0</x:v>
      </x:c>
      <x:c r="E26" s="6" t="n">
        <x:v>0</x:v>
      </x:c>
      <x:c r="F26" s="6" t="n">
        <x:v>0</x:v>
      </x:c>
      <x:c r="G26" s="6" t="n">
        <x:v>0</x:v>
      </x:c>
      <x:c r="H26" s="24" t="n">
        <x:v>0</x:v>
      </x:c>
      <x:c r="I26" s="24" t="n">
        <x:v>4167.437050011353</x:v>
      </x:c>
    </x:row>
    <x:row r="27" ht="20" customHeight="1">
      <x:c r="A27" s="22" t="n">
        <x:v>0</x:v>
      </x:c>
      <x:c r="B27" s="22" t="n">
        <x:v>0.7</x:v>
      </x:c>
      <x:c r="C27" s="22" t="n">
        <x:v>0.03</x:v>
      </x:c>
      <x:c r="D27" s="6" t="n">
        <x:v>50000</x:v>
      </x:c>
      <x:c r="E27" s="6" t="n">
        <x:v>0</x:v>
      </x:c>
      <x:c r="F27" s="6" t="n">
        <x:v>0</x:v>
      </x:c>
      <x:c r="G27" s="6" t="n">
        <x:v>0</x:v>
      </x:c>
      <x:c r="H27" s="24" t="n">
        <x:v>0</x:v>
      </x:c>
      <x:c r="I27" s="24" t="n">
        <x:v>4167.437050011353</x:v>
      </x:c>
    </x:row>
    <x:row r="28" ht="20" customHeight="1">
      <x:c r="A28" s="22" t="n">
        <x:v>0</x:v>
      </x:c>
      <x:c r="B28" s="22" t="n">
        <x:v>0.7</x:v>
      </x:c>
      <x:c r="C28" s="22" t="n">
        <x:v>0.03</x:v>
      </x:c>
      <x:c r="D28" s="6" t="n">
        <x:v>100000</x:v>
      </x:c>
      <x:c r="E28" s="6" t="n">
        <x:v>0</x:v>
      </x:c>
      <x:c r="F28" s="6" t="n">
        <x:v>0</x:v>
      </x:c>
      <x:c r="G28" s="6" t="n">
        <x:v>0</x:v>
      </x:c>
      <x:c r="H28" s="24" t="n">
        <x:v>0</x:v>
      </x:c>
      <x:c r="I28" s="24" t="n">
        <x:v>4167.437050011353</x:v>
      </x:c>
    </x:row>
    <x:row r="29" ht="20" customHeight="1">
      <x:c r="A29" s="22" t="n">
        <x:v>0</x:v>
      </x:c>
      <x:c r="B29" s="22" t="n">
        <x:v>0.7</x:v>
      </x:c>
      <x:c r="C29" s="22" t="n">
        <x:v>0.05</x:v>
      </x:c>
      <x:c r="D29" s="6" t="n">
        <x:v>0</x:v>
      </x:c>
      <x:c r="E29" s="6" t="n">
        <x:v>0</x:v>
      </x:c>
      <x:c r="F29" s="6" t="n">
        <x:v>0</x:v>
      </x:c>
      <x:c r="G29" s="6" t="n">
        <x:v>0</x:v>
      </x:c>
      <x:c r="H29" s="24" t="n">
        <x:v>0</x:v>
      </x:c>
      <x:c r="I29" s="24" t="n">
        <x:v>4167.437050011353</x:v>
      </x:c>
    </x:row>
    <x:row r="30" ht="20" customHeight="1">
      <x:c r="A30" s="22" t="n">
        <x:v>0</x:v>
      </x:c>
      <x:c r="B30" s="22" t="n">
        <x:v>0.7</x:v>
      </x:c>
      <x:c r="C30" s="22" t="n">
        <x:v>0.05</x:v>
      </x:c>
      <x:c r="D30" s="6" t="n">
        <x:v>50000</x:v>
      </x:c>
      <x:c r="E30" s="6" t="n">
        <x:v>0</x:v>
      </x:c>
      <x:c r="F30" s="6" t="n">
        <x:v>0</x:v>
      </x:c>
      <x:c r="G30" s="6" t="n">
        <x:v>0</x:v>
      </x:c>
      <x:c r="H30" s="24" t="n">
        <x:v>0</x:v>
      </x:c>
      <x:c r="I30" s="24" t="n">
        <x:v>4167.437050011353</x:v>
      </x:c>
    </x:row>
    <x:row r="31" ht="20" customHeight="1">
      <x:c r="A31" s="22" t="n">
        <x:v>0</x:v>
      </x:c>
      <x:c r="B31" s="22" t="n">
        <x:v>0.7</x:v>
      </x:c>
      <x:c r="C31" s="22" t="n">
        <x:v>0.05</x:v>
      </x:c>
      <x:c r="D31" s="6" t="n">
        <x:v>100000</x:v>
      </x:c>
      <x:c r="E31" s="6" t="n">
        <x:v>0</x:v>
      </x:c>
      <x:c r="F31" s="6" t="n">
        <x:v>0</x:v>
      </x:c>
      <x:c r="G31" s="6" t="n">
        <x:v>0</x:v>
      </x:c>
      <x:c r="H31" s="24" t="n">
        <x:v>0</x:v>
      </x:c>
      <x:c r="I31" s="24" t="n">
        <x:v>4167.437050011353</x:v>
      </x:c>
    </x:row>
    <x:row r="32" ht="20" customHeight="1">
      <x:c r="A32" s="22" t="n">
        <x:v>0.001</x:v>
      </x:c>
      <x:c r="B32" s="22" t="n">
        <x:v>0.1</x:v>
      </x:c>
      <x:c r="C32" s="22" t="n">
        <x:v>0</x:v>
      </x:c>
      <x:c r="D32" s="6" t="n">
        <x:v>0</x:v>
      </x:c>
      <x:c r="E32" s="6" t="n">
        <x:v>0.0375</x:v>
      </x:c>
      <x:c r="F32" s="6" t="n">
        <x:v>0.00375</x:v>
      </x:c>
      <x:c r="G32" s="6" t="n">
        <x:v>1.29</x:v>
      </x:c>
      <x:c r="H32" s="24" t="n">
        <x:v>4350</x:v>
      </x:c>
      <x:c r="I32" s="24" t="n">
        <x:v>-182.56294998864723</x:v>
      </x:c>
    </x:row>
    <x:row r="33" ht="20" customHeight="1">
      <x:c r="A33" s="22" t="n">
        <x:v>0.001</x:v>
      </x:c>
      <x:c r="B33" s="22" t="n">
        <x:v>0.1</x:v>
      </x:c>
      <x:c r="C33" s="22" t="n">
        <x:v>0</x:v>
      </x:c>
      <x:c r="D33" s="6" t="n">
        <x:v>50000</x:v>
      </x:c>
      <x:c r="E33" s="6" t="n">
        <x:v>0.0375</x:v>
      </x:c>
      <x:c r="F33" s="6" t="n">
        <x:v>0.00375</x:v>
      </x:c>
      <x:c r="G33" s="6" t="n">
        <x:v>1.29</x:v>
      </x:c>
      <x:c r="H33" s="24" t="n">
        <x:v>4350</x:v>
      </x:c>
      <x:c r="I33" s="24" t="n">
        <x:v>64317.43705001136</x:v>
      </x:c>
    </x:row>
    <x:row r="34" ht="20" customHeight="1">
      <x:c r="A34" s="22" t="n">
        <x:v>0.001</x:v>
      </x:c>
      <x:c r="B34" s="22" t="n">
        <x:v>0.1</x:v>
      </x:c>
      <x:c r="C34" s="22" t="n">
        <x:v>0</x:v>
      </x:c>
      <x:c r="D34" s="6" t="n">
        <x:v>100000</x:v>
      </x:c>
      <x:c r="E34" s="6" t="n">
        <x:v>0.0375</x:v>
      </x:c>
      <x:c r="F34" s="6" t="n">
        <x:v>0.00375</x:v>
      </x:c>
      <x:c r="G34" s="6" t="n">
        <x:v>1.29</x:v>
      </x:c>
      <x:c r="H34" s="24" t="n">
        <x:v>4350</x:v>
      </x:c>
      <x:c r="I34" s="24" t="n">
        <x:v>128817.43705001136</x:v>
      </x:c>
    </x:row>
    <x:row r="35" ht="20" customHeight="1">
      <x:c r="A35" s="22" t="n">
        <x:v>0.001</x:v>
      </x:c>
      <x:c r="B35" s="22" t="n">
        <x:v>0.1</x:v>
      </x:c>
      <x:c r="C35" s="22" t="n">
        <x:v>0.03</x:v>
      </x:c>
      <x:c r="D35" s="6" t="n">
        <x:v>0</x:v>
      </x:c>
      <x:c r="E35" s="6" t="n">
        <x:v>0.0375</x:v>
      </x:c>
      <x:c r="F35" s="6" t="n">
        <x:v>0.00375</x:v>
      </x:c>
      <x:c r="G35" s="6" t="n">
        <x:v>0.7454513961681575</x:v>
      </x:c>
      <x:c r="H35" s="24" t="n">
        <x:v>2513.7314521949497</x:v>
      </x:c>
      <x:c r="I35" s="24" t="n">
        <x:v>1653.705597816403</x:v>
      </x:c>
    </x:row>
    <x:row r="36" ht="20" customHeight="1">
      <x:c r="A36" s="22" t="n">
        <x:v>0.001</x:v>
      </x:c>
      <x:c r="B36" s="22" t="n">
        <x:v>0.1</x:v>
      </x:c>
      <x:c r="C36" s="22" t="n">
        <x:v>0.03</x:v>
      </x:c>
      <x:c r="D36" s="6" t="n">
        <x:v>50000</x:v>
      </x:c>
      <x:c r="E36" s="6" t="n">
        <x:v>0.0375</x:v>
      </x:c>
      <x:c r="F36" s="6" t="n">
        <x:v>0.00375</x:v>
      </x:c>
      <x:c r="G36" s="6" t="n">
        <x:v>0.7454513961681575</x:v>
      </x:c>
      <x:c r="H36" s="24" t="n">
        <x:v>2513.7314521949497</x:v>
      </x:c>
      <x:c r="I36" s="24" t="n">
        <x:v>38926.275406224275</x:v>
      </x:c>
    </x:row>
    <x:row r="37" ht="20" customHeight="1">
      <x:c r="A37" s="22" t="n">
        <x:v>0.001</x:v>
      </x:c>
      <x:c r="B37" s="22" t="n">
        <x:v>0.1</x:v>
      </x:c>
      <x:c r="C37" s="22" t="n">
        <x:v>0.03</x:v>
      </x:c>
      <x:c r="D37" s="6" t="n">
        <x:v>100000</x:v>
      </x:c>
      <x:c r="E37" s="6" t="n">
        <x:v>0.0375</x:v>
      </x:c>
      <x:c r="F37" s="6" t="n">
        <x:v>0.00375</x:v>
      </x:c>
      <x:c r="G37" s="6" t="n">
        <x:v>0.7454513961681575</x:v>
      </x:c>
      <x:c r="H37" s="24" t="n">
        <x:v>2513.7314521949497</x:v>
      </x:c>
      <x:c r="I37" s="24" t="n">
        <x:v>76198.84521463217</x:v>
      </x:c>
    </x:row>
    <x:row r="38" ht="20" customHeight="1">
      <x:c r="A38" s="22" t="n">
        <x:v>0.001</x:v>
      </x:c>
      <x:c r="B38" s="22" t="n">
        <x:v>0.1</x:v>
      </x:c>
      <x:c r="C38" s="22" t="n">
        <x:v>0.05</x:v>
      </x:c>
      <x:c r="D38" s="6" t="n">
        <x:v>0</x:v>
      </x:c>
      <x:c r="E38" s="6" t="n">
        <x:v>0.0375</x:v>
      </x:c>
      <x:c r="F38" s="6" t="n">
        <x:v>0.00375</x:v>
      </x:c>
      <x:c r="G38" s="6" t="n">
        <x:v>0.5533805349163204</x:v>
      </x:c>
      <x:c r="H38" s="24" t="n">
        <x:v>1866.0506409968946</x:v>
      </x:c>
      <x:c r="I38" s="24" t="n">
        <x:v>2301.386409014458</x:v>
      </x:c>
    </x:row>
    <x:row r="39" ht="20" customHeight="1">
      <x:c r="A39" s="22" t="n">
        <x:v>0.001</x:v>
      </x:c>
      <x:c r="B39" s="22" t="n">
        <x:v>0.1</x:v>
      </x:c>
      <x:c r="C39" s="22" t="n">
        <x:v>0.05</x:v>
      </x:c>
      <x:c r="D39" s="6" t="n">
        <x:v>50000</x:v>
      </x:c>
      <x:c r="E39" s="6" t="n">
        <x:v>0.0375</x:v>
      </x:c>
      <x:c r="F39" s="6" t="n">
        <x:v>0.00375</x:v>
      </x:c>
      <x:c r="G39" s="6" t="n">
        <x:v>0.5533805349163204</x:v>
      </x:c>
      <x:c r="H39" s="24" t="n">
        <x:v>1866.0506409968946</x:v>
      </x:c>
      <x:c r="I39" s="24" t="n">
        <x:v>29970.41315483048</x:v>
      </x:c>
    </x:row>
    <x:row r="40" ht="20" customHeight="1">
      <x:c r="A40" s="22" t="n">
        <x:v>0.001</x:v>
      </x:c>
      <x:c r="B40" s="22" t="n">
        <x:v>0.1</x:v>
      </x:c>
      <x:c r="C40" s="22" t="n">
        <x:v>0.05</x:v>
      </x:c>
      <x:c r="D40" s="6" t="n">
        <x:v>100000</x:v>
      </x:c>
      <x:c r="E40" s="6" t="n">
        <x:v>0.0375</x:v>
      </x:c>
      <x:c r="F40" s="6" t="n">
        <x:v>0.00375</x:v>
      </x:c>
      <x:c r="G40" s="6" t="n">
        <x:v>0.5533805349163204</x:v>
      </x:c>
      <x:c r="H40" s="24" t="n">
        <x:v>1866.0506409968946</x:v>
      </x:c>
      <x:c r="I40" s="24" t="n">
        <x:v>57639.4399006465</x:v>
      </x:c>
    </x:row>
    <x:row r="41" ht="20" customHeight="1">
      <x:c r="A41" s="22" t="n">
        <x:v>0.001</x:v>
      </x:c>
      <x:c r="B41" s="22" t="n">
        <x:v>0.35</x:v>
      </x:c>
      <x:c r="C41" s="22" t="n">
        <x:v>0</x:v>
      </x:c>
      <x:c r="D41" s="6" t="n">
        <x:v>0</x:v>
      </x:c>
      <x:c r="E41" s="6" t="n">
        <x:v>0.0375</x:v>
      </x:c>
      <x:c r="F41" s="6" t="n">
        <x:v>0.013125</x:v>
      </x:c>
      <x:c r="G41" s="6" t="n">
        <x:v>1.1400000000000001</x:v>
      </x:c>
      <x:c r="H41" s="24" t="n">
        <x:v>11475</x:v>
      </x:c>
      <x:c r="I41" s="24" t="n">
        <x:v>-7307.562949988647</x:v>
      </x:c>
    </x:row>
    <x:row r="42" ht="20" customHeight="1">
      <x:c r="A42" s="22" t="n">
        <x:v>0.001</x:v>
      </x:c>
      <x:c r="B42" s="22" t="n">
        <x:v>0.35</x:v>
      </x:c>
      <x:c r="C42" s="22" t="n">
        <x:v>0</x:v>
      </x:c>
      <x:c r="D42" s="6" t="n">
        <x:v>50000</x:v>
      </x:c>
      <x:c r="E42" s="6" t="n">
        <x:v>0.0375</x:v>
      </x:c>
      <x:c r="F42" s="6" t="n">
        <x:v>0.013125</x:v>
      </x:c>
      <x:c r="G42" s="6" t="n">
        <x:v>1.1400000000000001</x:v>
      </x:c>
      <x:c r="H42" s="24" t="n">
        <x:v>11475</x:v>
      </x:c>
      <x:c r="I42" s="24" t="n">
        <x:v>49692.43705001136</x:v>
      </x:c>
    </x:row>
    <x:row r="43" ht="20" customHeight="1">
      <x:c r="A43" s="22" t="n">
        <x:v>0.001</x:v>
      </x:c>
      <x:c r="B43" s="22" t="n">
        <x:v>0.35</x:v>
      </x:c>
      <x:c r="C43" s="22" t="n">
        <x:v>0</x:v>
      </x:c>
      <x:c r="D43" s="6" t="n">
        <x:v>100000</x:v>
      </x:c>
      <x:c r="E43" s="6" t="n">
        <x:v>0.0375</x:v>
      </x:c>
      <x:c r="F43" s="6" t="n">
        <x:v>0.013125</x:v>
      </x:c>
      <x:c r="G43" s="6" t="n">
        <x:v>1.1400000000000001</x:v>
      </x:c>
      <x:c r="H43" s="24" t="n">
        <x:v>11475</x:v>
      </x:c>
      <x:c r="I43" s="24" t="n">
        <x:v>106692.43705001137</x:v>
      </x:c>
    </x:row>
    <x:row r="44" ht="20" customHeight="1">
      <x:c r="A44" s="22" t="n">
        <x:v>0.001</x:v>
      </x:c>
      <x:c r="B44" s="22" t="n">
        <x:v>0.35</x:v>
      </x:c>
      <x:c r="C44" s="22" t="n">
        <x:v>0.03</x:v>
      </x:c>
      <x:c r="D44" s="6" t="n">
        <x:v>0</x:v>
      </x:c>
      <x:c r="E44" s="6" t="n">
        <x:v>0.0375</x:v>
      </x:c>
      <x:c r="F44" s="6" t="n">
        <x:v>0.013125</x:v>
      </x:c>
      <x:c r="G44" s="6" t="n">
        <x:v>0.6587710012648834</x:v>
      </x:c>
      <x:c r="H44" s="24" t="n">
        <x:v>6631.05021010047</x:v>
      </x:c>
      <x:c r="I44" s="24" t="n">
        <x:v>-2463.6131600891176</x:v>
      </x:c>
    </x:row>
    <x:row r="45" ht="20" customHeight="1">
      <x:c r="A45" s="22" t="n">
        <x:v>0.001</x:v>
      </x:c>
      <x:c r="B45" s="22" t="n">
        <x:v>0.35</x:v>
      </x:c>
      <x:c r="C45" s="22" t="n">
        <x:v>0.03</x:v>
      </x:c>
      <x:c r="D45" s="6" t="n">
        <x:v>50000</x:v>
      </x:c>
      <x:c r="E45" s="6" t="n">
        <x:v>0.0375</x:v>
      </x:c>
      <x:c r="F45" s="6" t="n">
        <x:v>0.013125</x:v>
      </x:c>
      <x:c r="G45" s="6" t="n">
        <x:v>0.6587710012648834</x:v>
      </x:c>
      <x:c r="H45" s="24" t="n">
        <x:v>6631.05021010047</x:v>
      </x:c>
      <x:c r="I45" s="24" t="n">
        <x:v>30474.93690315505</x:v>
      </x:c>
    </x:row>
    <x:row r="46" ht="20" customHeight="1">
      <x:c r="A46" s="22" t="n">
        <x:v>0.001</x:v>
      </x:c>
      <x:c r="B46" s="22" t="n">
        <x:v>0.35</x:v>
      </x:c>
      <x:c r="C46" s="22" t="n">
        <x:v>0.03</x:v>
      </x:c>
      <x:c r="D46" s="6" t="n">
        <x:v>100000</x:v>
      </x:c>
      <x:c r="E46" s="6" t="n">
        <x:v>0.0375</x:v>
      </x:c>
      <x:c r="F46" s="6" t="n">
        <x:v>0.013125</x:v>
      </x:c>
      <x:c r="G46" s="6" t="n">
        <x:v>0.6587710012648834</x:v>
      </x:c>
      <x:c r="H46" s="24" t="n">
        <x:v>6631.05021010047</x:v>
      </x:c>
      <x:c r="I46" s="24" t="n">
        <x:v>63413.48696639923</x:v>
      </x:c>
    </x:row>
    <x:row r="47" ht="20" customHeight="1">
      <x:c r="A47" s="22" t="n">
        <x:v>0.001</x:v>
      </x:c>
      <x:c r="B47" s="22" t="n">
        <x:v>0.35</x:v>
      </x:c>
      <x:c r="C47" s="22" t="n">
        <x:v>0.05</x:v>
      </x:c>
      <x:c r="D47" s="6" t="n">
        <x:v>0</x:v>
      </x:c>
      <x:c r="E47" s="6" t="n">
        <x:v>0.0375</x:v>
      </x:c>
      <x:c r="F47" s="6" t="n">
        <x:v>0.013125</x:v>
      </x:c>
      <x:c r="G47" s="6" t="n">
        <x:v>0.48903396108884134</x:v>
      </x:c>
      <x:c r="H47" s="24" t="n">
        <x:v>4922.512897802153</x:v>
      </x:c>
      <x:c r="I47" s="24" t="n">
        <x:v>-755.0758477908003</x:v>
      </x:c>
    </x:row>
    <x:row r="48" ht="20" customHeight="1">
      <x:c r="A48" s="22" t="n">
        <x:v>0.001</x:v>
      </x:c>
      <x:c r="B48" s="22" t="n">
        <x:v>0.35</x:v>
      </x:c>
      <x:c r="C48" s="22" t="n">
        <x:v>0.05</x:v>
      </x:c>
      <x:c r="D48" s="6" t="n">
        <x:v>50000</x:v>
      </x:c>
      <x:c r="E48" s="6" t="n">
        <x:v>0.0375</x:v>
      </x:c>
      <x:c r="F48" s="6" t="n">
        <x:v>0.013125</x:v>
      </x:c>
      <x:c r="G48" s="6" t="n">
        <x:v>0.48903396108884134</x:v>
      </x:c>
      <x:c r="H48" s="24" t="n">
        <x:v>4922.512897802153</x:v>
      </x:c>
      <x:c r="I48" s="24" t="n">
        <x:v>23696.622206651264</x:v>
      </x:c>
    </x:row>
    <x:row r="49" ht="20" customHeight="1">
      <x:c r="A49" s="22" t="n">
        <x:v>0.001</x:v>
      </x:c>
      <x:c r="B49" s="22" t="n">
        <x:v>0.35</x:v>
      </x:c>
      <x:c r="C49" s="22" t="n">
        <x:v>0.05</x:v>
      </x:c>
      <x:c r="D49" s="6" t="n">
        <x:v>100000</x:v>
      </x:c>
      <x:c r="E49" s="6" t="n">
        <x:v>0.0375</x:v>
      </x:c>
      <x:c r="F49" s="6" t="n">
        <x:v>0.013125</x:v>
      </x:c>
      <x:c r="G49" s="6" t="n">
        <x:v>0.48903396108884134</x:v>
      </x:c>
      <x:c r="H49" s="24" t="n">
        <x:v>4922.512897802153</x:v>
      </x:c>
      <x:c r="I49" s="24" t="n">
        <x:v>48148.32026109333</x:v>
      </x:c>
    </x:row>
    <x:row r="50" ht="20" customHeight="1">
      <x:c r="A50" s="22" t="n">
        <x:v>0.001</x:v>
      </x:c>
      <x:c r="B50" s="22" t="n">
        <x:v>0.7</x:v>
      </x:c>
      <x:c r="C50" s="22" t="n">
        <x:v>0</x:v>
      </x:c>
      <x:c r="D50" s="6" t="n">
        <x:v>0</x:v>
      </x:c>
      <x:c r="E50" s="6" t="n">
        <x:v>0.0375</x:v>
      </x:c>
      <x:c r="F50" s="6" t="n">
        <x:v>0.02625</x:v>
      </x:c>
      <x:c r="G50" s="6" t="n">
        <x:v>0.9299999999999999</x:v>
      </x:c>
      <x:c r="H50" s="24" t="n">
        <x:v>21450</x:v>
      </x:c>
      <x:c r="I50" s="24" t="n">
        <x:v>-17282.56294998865</x:v>
      </x:c>
    </x:row>
    <x:row r="51" ht="20" customHeight="1">
      <x:c r="A51" s="22" t="n">
        <x:v>0.001</x:v>
      </x:c>
      <x:c r="B51" s="22" t="n">
        <x:v>0.7</x:v>
      </x:c>
      <x:c r="C51" s="22" t="n">
        <x:v>0</x:v>
      </x:c>
      <x:c r="D51" s="6" t="n">
        <x:v>50000</x:v>
      </x:c>
      <x:c r="E51" s="6" t="n">
        <x:v>0.0375</x:v>
      </x:c>
      <x:c r="F51" s="6" t="n">
        <x:v>0.02625</x:v>
      </x:c>
      <x:c r="G51" s="6" t="n">
        <x:v>0.9299999999999999</x:v>
      </x:c>
      <x:c r="H51" s="24" t="n">
        <x:v>21450</x:v>
      </x:c>
      <x:c r="I51" s="24" t="n">
        <x:v>29217.43705001135</x:v>
      </x:c>
    </x:row>
    <x:row r="52" ht="20" customHeight="1">
      <x:c r="A52" s="22" t="n">
        <x:v>0.001</x:v>
      </x:c>
      <x:c r="B52" s="22" t="n">
        <x:v>0.7</x:v>
      </x:c>
      <x:c r="C52" s="22" t="n">
        <x:v>0</x:v>
      </x:c>
      <x:c r="D52" s="6" t="n">
        <x:v>100000</x:v>
      </x:c>
      <x:c r="E52" s="6" t="n">
        <x:v>0.0375</x:v>
      </x:c>
      <x:c r="F52" s="6" t="n">
        <x:v>0.02625</x:v>
      </x:c>
      <x:c r="G52" s="6" t="n">
        <x:v>0.9299999999999999</x:v>
      </x:c>
      <x:c r="H52" s="24" t="n">
        <x:v>21450</x:v>
      </x:c>
      <x:c r="I52" s="24" t="n">
        <x:v>75717.43705001136</x:v>
      </x:c>
    </x:row>
    <x:row r="53" ht="20" customHeight="1">
      <x:c r="A53" s="22" t="n">
        <x:v>0.001</x:v>
      </x:c>
      <x:c r="B53" s="22" t="n">
        <x:v>0.7</x:v>
      </x:c>
      <x:c r="C53" s="22" t="n">
        <x:v>0.03</x:v>
      </x:c>
      <x:c r="D53" s="6" t="n">
        <x:v>0</x:v>
      </x:c>
      <x:c r="E53" s="6" t="n">
        <x:v>0.0375</x:v>
      </x:c>
      <x:c r="F53" s="6" t="n">
        <x:v>0.02625</x:v>
      </x:c>
      <x:c r="G53" s="6" t="n">
        <x:v>0.5374184484002996</x:v>
      </x:c>
      <x:c r="H53" s="24" t="n">
        <x:v>12395.2964711682</x:v>
      </x:c>
      <x:c r="I53" s="24" t="n">
        <x:v>-8227.859421156847</x:v>
      </x:c>
    </x:row>
    <x:row r="54" ht="20" customHeight="1">
      <x:c r="A54" s="22" t="n">
        <x:v>0.001</x:v>
      </x:c>
      <x:c r="B54" s="22" t="n">
        <x:v>0.7</x:v>
      </x:c>
      <x:c r="C54" s="22" t="n">
        <x:v>0.03</x:v>
      </x:c>
      <x:c r="D54" s="6" t="n">
        <x:v>50000</x:v>
      </x:c>
      <x:c r="E54" s="6" t="n">
        <x:v>0.0375</x:v>
      </x:c>
      <x:c r="F54" s="6" t="n">
        <x:v>0.02625</x:v>
      </x:c>
      <x:c r="G54" s="6" t="n">
        <x:v>0.5374184484002996</x:v>
      </x:c>
      <x:c r="H54" s="24" t="n">
        <x:v>12395.2964711682</x:v>
      </x:c>
      <x:c r="I54" s="24" t="n">
        <x:v>18643.062998858135</x:v>
      </x:c>
    </x:row>
    <x:row r="55" ht="20" customHeight="1">
      <x:c r="A55" s="22" t="n">
        <x:v>0.001</x:v>
      </x:c>
      <x:c r="B55" s="22" t="n">
        <x:v>0.7</x:v>
      </x:c>
      <x:c r="C55" s="22" t="n">
        <x:v>0.03</x:v>
      </x:c>
      <x:c r="D55" s="6" t="n">
        <x:v>100000</x:v>
      </x:c>
      <x:c r="E55" s="6" t="n">
        <x:v>0.0375</x:v>
      </x:c>
      <x:c r="F55" s="6" t="n">
        <x:v>0.02625</x:v>
      </x:c>
      <x:c r="G55" s="6" t="n">
        <x:v>0.5374184484002996</x:v>
      </x:c>
      <x:c r="H55" s="24" t="n">
        <x:v>12395.2964711682</x:v>
      </x:c>
      <x:c r="I55" s="24" t="n">
        <x:v>45513.98541887311</x:v>
      </x:c>
    </x:row>
    <x:row r="56" ht="20" customHeight="1">
      <x:c r="A56" s="22" t="n">
        <x:v>0.001</x:v>
      </x:c>
      <x:c r="B56" s="22" t="n">
        <x:v>0.7</x:v>
      </x:c>
      <x:c r="C56" s="22" t="n">
        <x:v>0.05</x:v>
      </x:c>
      <x:c r="D56" s="6" t="n">
        <x:v>0</x:v>
      </x:c>
      <x:c r="E56" s="6" t="n">
        <x:v>0.0375</x:v>
      </x:c>
      <x:c r="F56" s="6" t="n">
        <x:v>0.02625</x:v>
      </x:c>
      <x:c r="G56" s="6" t="n">
        <x:v>0.39894875773037053</x:v>
      </x:c>
      <x:c r="H56" s="24" t="n">
        <x:v>9201.560057329514</x:v>
      </x:c>
      <x:c r="I56" s="24" t="n">
        <x:v>-5034.123007318161</x:v>
      </x:c>
    </x:row>
    <x:row r="57" ht="20" customHeight="1">
      <x:c r="A57" s="22" t="n">
        <x:v>0.001</x:v>
      </x:c>
      <x:c r="B57" s="22" t="n">
        <x:v>0.7</x:v>
      </x:c>
      <x:c r="C57" s="22" t="n">
        <x:v>0.05</x:v>
      </x:c>
      <x:c r="D57" s="6" t="n">
        <x:v>50000</x:v>
      </x:c>
      <x:c r="E57" s="6" t="n">
        <x:v>0.0375</x:v>
      </x:c>
      <x:c r="F57" s="6" t="n">
        <x:v>0.02625</x:v>
      </x:c>
      <x:c r="G57" s="6" t="n">
        <x:v>0.39894875773037053</x:v>
      </x:c>
      <x:c r="H57" s="24" t="n">
        <x:v>9201.560057329514</x:v>
      </x:c>
      <x:c r="I57" s="24" t="n">
        <x:v>14913.314879200365</x:v>
      </x:c>
    </x:row>
    <x:row r="58" ht="20" customHeight="1">
      <x:c r="A58" s="22" t="n">
        <x:v>0.001</x:v>
      </x:c>
      <x:c r="B58" s="22" t="n">
        <x:v>0.7</x:v>
      </x:c>
      <x:c r="C58" s="22" t="n">
        <x:v>0.05</x:v>
      </x:c>
      <x:c r="D58" s="6" t="n">
        <x:v>100000</x:v>
      </x:c>
      <x:c r="E58" s="6" t="n">
        <x:v>0.0375</x:v>
      </x:c>
      <x:c r="F58" s="6" t="n">
        <x:v>0.02625</x:v>
      </x:c>
      <x:c r="G58" s="6" t="n">
        <x:v>0.39894875773037053</x:v>
      </x:c>
      <x:c r="H58" s="24" t="n">
        <x:v>9201.560057329514</x:v>
      </x:c>
      <x:c r="I58" s="24" t="n">
        <x:v>34860.75276571889</x:v>
      </x:c>
    </x:row>
    <x:row r="59" ht="20" customHeight="1">
      <x:c r="A59" s="22" t="n">
        <x:v>0.005</x:v>
      </x:c>
      <x:c r="B59" s="22" t="n">
        <x:v>0.1</x:v>
      </x:c>
      <x:c r="C59" s="22" t="n">
        <x:v>0</x:v>
      </x:c>
      <x:c r="D59" s="6" t="n">
        <x:v>0</x:v>
      </x:c>
      <x:c r="E59" s="6" t="n">
        <x:v>0.1875</x:v>
      </x:c>
      <x:c r="F59" s="6" t="n">
        <x:v>0.018750000000000003</x:v>
      </x:c>
      <x:c r="G59" s="6" t="n">
        <x:v>6.45</x:v>
      </x:c>
      <x:c r="H59" s="24" t="n">
        <x:v>21750</x:v>
      </x:c>
      <x:c r="I59" s="24" t="n">
        <x:v>-17582.56294998865</x:v>
      </x:c>
    </x:row>
    <x:row r="60" ht="20" customHeight="1">
      <x:c r="A60" s="22" t="n">
        <x:v>0.005</x:v>
      </x:c>
      <x:c r="B60" s="22" t="n">
        <x:v>0.1</x:v>
      </x:c>
      <x:c r="C60" s="22" t="n">
        <x:v>0</x:v>
      </x:c>
      <x:c r="D60" s="6" t="n">
        <x:v>50000</x:v>
      </x:c>
      <x:c r="E60" s="6" t="n">
        <x:v>0.1875</x:v>
      </x:c>
      <x:c r="F60" s="6" t="n">
        <x:v>0.018750000000000003</x:v>
      </x:c>
      <x:c r="G60" s="6" t="n">
        <x:v>6.45</x:v>
      </x:c>
      <x:c r="H60" s="24" t="n">
        <x:v>21750</x:v>
      </x:c>
      <x:c r="I60" s="24" t="n">
        <x:v>304917.43705001136</x:v>
      </x:c>
    </x:row>
    <x:row r="61" ht="20" customHeight="1">
      <x:c r="A61" s="22" t="n">
        <x:v>0.005</x:v>
      </x:c>
      <x:c r="B61" s="22" t="n">
        <x:v>0.1</x:v>
      </x:c>
      <x:c r="C61" s="22" t="n">
        <x:v>0</x:v>
      </x:c>
      <x:c r="D61" s="6" t="n">
        <x:v>100000</x:v>
      </x:c>
      <x:c r="E61" s="6" t="n">
        <x:v>0.1875</x:v>
      </x:c>
      <x:c r="F61" s="6" t="n">
        <x:v>0.018750000000000003</x:v>
      </x:c>
      <x:c r="G61" s="6" t="n">
        <x:v>6.45</x:v>
      </x:c>
      <x:c r="H61" s="24" t="n">
        <x:v>21750</x:v>
      </x:c>
      <x:c r="I61" s="24" t="n">
        <x:v>627417.4370500114</x:v>
      </x:c>
    </x:row>
    <x:row r="62" ht="20" customHeight="1">
      <x:c r="A62" s="22" t="n">
        <x:v>0.005</x:v>
      </x:c>
      <x:c r="B62" s="22" t="n">
        <x:v>0.1</x:v>
      </x:c>
      <x:c r="C62" s="22" t="n">
        <x:v>0.03</x:v>
      </x:c>
      <x:c r="D62" s="6" t="n">
        <x:v>0</x:v>
      </x:c>
      <x:c r="E62" s="6" t="n">
        <x:v>0.1875</x:v>
      </x:c>
      <x:c r="F62" s="6" t="n">
        <x:v>0.018750000000000003</x:v>
      </x:c>
      <x:c r="G62" s="6" t="n">
        <x:v>3.7272569808407874</x:v>
      </x:c>
      <x:c r="H62" s="24" t="n">
        <x:v>12568.657260974749</x:v>
      </x:c>
      <x:c r="I62" s="24" t="n">
        <x:v>-8401.220210963396</x:v>
      </x:c>
    </x:row>
    <x:row r="63" ht="20" customHeight="1">
      <x:c r="A63" s="22" t="n">
        <x:v>0.005</x:v>
      </x:c>
      <x:c r="B63" s="22" t="n">
        <x:v>0.1</x:v>
      </x:c>
      <x:c r="C63" s="22" t="n">
        <x:v>0.03</x:v>
      </x:c>
      <x:c r="D63" s="6" t="n">
        <x:v>50000</x:v>
      </x:c>
      <x:c r="E63" s="6" t="n">
        <x:v>0.1875</x:v>
      </x:c>
      <x:c r="F63" s="6" t="n">
        <x:v>0.018750000000000003</x:v>
      </x:c>
      <x:c r="G63" s="6" t="n">
        <x:v>3.7272569808407874</x:v>
      </x:c>
      <x:c r="H63" s="24" t="n">
        <x:v>12568.657260974749</x:v>
      </x:c>
      <x:c r="I63" s="24" t="n">
        <x:v>177961.62883107597</x:v>
      </x:c>
    </x:row>
    <x:row r="64" ht="20" customHeight="1">
      <x:c r="A64" s="22" t="n">
        <x:v>0.005</x:v>
      </x:c>
      <x:c r="B64" s="22" t="n">
        <x:v>0.1</x:v>
      </x:c>
      <x:c r="C64" s="22" t="n">
        <x:v>0.03</x:v>
      </x:c>
      <x:c r="D64" s="6" t="n">
        <x:v>100000</x:v>
      </x:c>
      <x:c r="E64" s="6" t="n">
        <x:v>0.1875</x:v>
      </x:c>
      <x:c r="F64" s="6" t="n">
        <x:v>0.018750000000000003</x:v>
      </x:c>
      <x:c r="G64" s="6" t="n">
        <x:v>3.7272569808407874</x:v>
      </x:c>
      <x:c r="H64" s="24" t="n">
        <x:v>12568.657260974749</x:v>
      </x:c>
      <x:c r="I64" s="24" t="n">
        <x:v>364324.47787311533</x:v>
      </x:c>
    </x:row>
    <x:row r="65" ht="20" customHeight="1">
      <x:c r="A65" s="22" t="n">
        <x:v>0.005</x:v>
      </x:c>
      <x:c r="B65" s="22" t="n">
        <x:v>0.1</x:v>
      </x:c>
      <x:c r="C65" s="22" t="n">
        <x:v>0.05</x:v>
      </x:c>
      <x:c r="D65" s="6" t="n">
        <x:v>0</x:v>
      </x:c>
      <x:c r="E65" s="6" t="n">
        <x:v>0.1875</x:v>
      </x:c>
      <x:c r="F65" s="6" t="n">
        <x:v>0.018750000000000003</x:v>
      </x:c>
      <x:c r="G65" s="6" t="n">
        <x:v>2.766902674581602</x:v>
      </x:c>
      <x:c r="H65" s="24" t="n">
        <x:v>9330.253204984472</x:v>
      </x:c>
      <x:c r="I65" s="24" t="n">
        <x:v>-5162.816154973119</x:v>
      </x:c>
    </x:row>
    <x:row r="66" ht="20" customHeight="1">
      <x:c r="A66" s="22" t="n">
        <x:v>0.005</x:v>
      </x:c>
      <x:c r="B66" s="22" t="n">
        <x:v>0.1</x:v>
      </x:c>
      <x:c r="C66" s="22" t="n">
        <x:v>0.05</x:v>
      </x:c>
      <x:c r="D66" s="6" t="n">
        <x:v>50000</x:v>
      </x:c>
      <x:c r="E66" s="6" t="n">
        <x:v>0.1875</x:v>
      </x:c>
      <x:c r="F66" s="6" t="n">
        <x:v>0.018750000000000003</x:v>
      </x:c>
      <x:c r="G66" s="6" t="n">
        <x:v>2.766902674581602</x:v>
      </x:c>
      <x:c r="H66" s="24" t="n">
        <x:v>9330.253204984472</x:v>
      </x:c>
      <x:c r="I66" s="24" t="n">
        <x:v>133182.317574107</x:v>
      </x:c>
    </x:row>
    <x:row r="67" ht="20" customHeight="1">
      <x:c r="A67" s="22" t="n">
        <x:v>0.005</x:v>
      </x:c>
      <x:c r="B67" s="22" t="n">
        <x:v>0.1</x:v>
      </x:c>
      <x:c r="C67" s="22" t="n">
        <x:v>0.05</x:v>
      </x:c>
      <x:c r="D67" s="6" t="n">
        <x:v>100000</x:v>
      </x:c>
      <x:c r="E67" s="6" t="n">
        <x:v>0.1875</x:v>
      </x:c>
      <x:c r="F67" s="6" t="n">
        <x:v>0.018750000000000003</x:v>
      </x:c>
      <x:c r="G67" s="6" t="n">
        <x:v>2.766902674581602</x:v>
      </x:c>
      <x:c r="H67" s="24" t="n">
        <x:v>9330.253204984472</x:v>
      </x:c>
      <x:c r="I67" s="24" t="n">
        <x:v>271527.4513031871</x:v>
      </x:c>
    </x:row>
    <x:row r="68" ht="20" customHeight="1">
      <x:c r="A68" s="22" t="n">
        <x:v>0.005</x:v>
      </x:c>
      <x:c r="B68" s="22" t="n">
        <x:v>0.35</x:v>
      </x:c>
      <x:c r="C68" s="22" t="n">
        <x:v>0</x:v>
      </x:c>
      <x:c r="D68" s="6" t="n">
        <x:v>0</x:v>
      </x:c>
      <x:c r="E68" s="6" t="n">
        <x:v>0.1875</x:v>
      </x:c>
      <x:c r="F68" s="6" t="n">
        <x:v>0.06562499999999999</x:v>
      </x:c>
      <x:c r="G68" s="6" t="n">
        <x:v>5.700000000000001</x:v>
      </x:c>
      <x:c r="H68" s="24" t="n">
        <x:v>57374.99999999999</x:v>
      </x:c>
      <x:c r="I68" s="24" t="n">
        <x:v>-53207.56294998864</x:v>
      </x:c>
    </x:row>
    <x:row r="69" ht="20" customHeight="1">
      <x:c r="A69" s="22" t="n">
        <x:v>0.005</x:v>
      </x:c>
      <x:c r="B69" s="22" t="n">
        <x:v>0.35</x:v>
      </x:c>
      <x:c r="C69" s="22" t="n">
        <x:v>0</x:v>
      </x:c>
      <x:c r="D69" s="6" t="n">
        <x:v>50000</x:v>
      </x:c>
      <x:c r="E69" s="6" t="n">
        <x:v>0.1875</x:v>
      </x:c>
      <x:c r="F69" s="6" t="n">
        <x:v>0.06562499999999999</x:v>
      </x:c>
      <x:c r="G69" s="6" t="n">
        <x:v>5.700000000000001</x:v>
      </x:c>
      <x:c r="H69" s="24" t="n">
        <x:v>57374.99999999999</x:v>
      </x:c>
      <x:c r="I69" s="24" t="n">
        <x:v>231792.43705001142</x:v>
      </x:c>
    </x:row>
    <x:row r="70" ht="20" customHeight="1">
      <x:c r="A70" s="22" t="n">
        <x:v>0.005</x:v>
      </x:c>
      <x:c r="B70" s="22" t="n">
        <x:v>0.35</x:v>
      </x:c>
      <x:c r="C70" s="22" t="n">
        <x:v>0</x:v>
      </x:c>
      <x:c r="D70" s="6" t="n">
        <x:v>100000</x:v>
      </x:c>
      <x:c r="E70" s="6" t="n">
        <x:v>0.1875</x:v>
      </x:c>
      <x:c r="F70" s="6" t="n">
        <x:v>0.06562499999999999</x:v>
      </x:c>
      <x:c r="G70" s="6" t="n">
        <x:v>5.700000000000001</x:v>
      </x:c>
      <x:c r="H70" s="24" t="n">
        <x:v>57374.99999999999</x:v>
      </x:c>
      <x:c r="I70" s="24" t="n">
        <x:v>516792.4370500115</x:v>
      </x:c>
    </x:row>
    <x:row r="71" ht="20" customHeight="1">
      <x:c r="A71" s="22" t="n">
        <x:v>0.005</x:v>
      </x:c>
      <x:c r="B71" s="22" t="n">
        <x:v>0.35</x:v>
      </x:c>
      <x:c r="C71" s="22" t="n">
        <x:v>0.03</x:v>
      </x:c>
      <x:c r="D71" s="6" t="n">
        <x:v>0</x:v>
      </x:c>
      <x:c r="E71" s="6" t="n">
        <x:v>0.1875</x:v>
      </x:c>
      <x:c r="F71" s="6" t="n">
        <x:v>0.06562499999999999</x:v>
      </x:c>
      <x:c r="G71" s="6" t="n">
        <x:v>3.293855006324417</x:v>
      </x:c>
      <x:c r="H71" s="24" t="n">
        <x:v>33155.251050502346</x:v>
      </x:c>
      <x:c r="I71" s="24" t="n">
        <x:v>-28987.814000490995</x:v>
      </x:c>
    </x:row>
    <x:row r="72" ht="20" customHeight="1">
      <x:c r="A72" s="22" t="n">
        <x:v>0.005</x:v>
      </x:c>
      <x:c r="B72" s="22" t="n">
        <x:v>0.35</x:v>
      </x:c>
      <x:c r="C72" s="22" t="n">
        <x:v>0.03</x:v>
      </x:c>
      <x:c r="D72" s="6" t="n">
        <x:v>50000</x:v>
      </x:c>
      <x:c r="E72" s="6" t="n">
        <x:v>0.1875</x:v>
      </x:c>
      <x:c r="F72" s="6" t="n">
        <x:v>0.06562499999999999</x:v>
      </x:c>
      <x:c r="G72" s="6" t="n">
        <x:v>3.293855006324417</x:v>
      </x:c>
      <x:c r="H72" s="24" t="n">
        <x:v>33155.251050502346</x:v>
      </x:c>
      <x:c r="I72" s="24" t="n">
        <x:v>135704.93631572986</x:v>
      </x:c>
    </x:row>
    <x:row r="73" ht="20" customHeight="1">
      <x:c r="A73" s="22" t="n">
        <x:v>0.005</x:v>
      </x:c>
      <x:c r="B73" s="22" t="n">
        <x:v>0.35</x:v>
      </x:c>
      <x:c r="C73" s="22" t="n">
        <x:v>0.03</x:v>
      </x:c>
      <x:c r="D73" s="6" t="n">
        <x:v>100000</x:v>
      </x:c>
      <x:c r="E73" s="6" t="n">
        <x:v>0.1875</x:v>
      </x:c>
      <x:c r="F73" s="6" t="n">
        <x:v>0.06562499999999999</x:v>
      </x:c>
      <x:c r="G73" s="6" t="n">
        <x:v>3.293855006324417</x:v>
      </x:c>
      <x:c r="H73" s="24" t="n">
        <x:v>33155.251050502346</x:v>
      </x:c>
      <x:c r="I73" s="24" t="n">
        <x:v>300397.6866319507</x:v>
      </x:c>
    </x:row>
    <x:row r="74" ht="20" customHeight="1">
      <x:c r="A74" s="22" t="n">
        <x:v>0.005</x:v>
      </x:c>
      <x:c r="B74" s="22" t="n">
        <x:v>0.35</x:v>
      </x:c>
      <x:c r="C74" s="22" t="n">
        <x:v>0.05</x:v>
      </x:c>
      <x:c r="D74" s="6" t="n">
        <x:v>0</x:v>
      </x:c>
      <x:c r="E74" s="6" t="n">
        <x:v>0.1875</x:v>
      </x:c>
      <x:c r="F74" s="6" t="n">
        <x:v>0.06562499999999999</x:v>
      </x:c>
      <x:c r="G74" s="6" t="n">
        <x:v>2.445169805444207</x:v>
      </x:c>
      <x:c r="H74" s="24" t="n">
        <x:v>24612.56448901076</x:v>
      </x:c>
      <x:c r="I74" s="24" t="n">
        <x:v>-20445.127438999407</x:v>
      </x:c>
    </x:row>
    <x:row r="75" ht="20" customHeight="1">
      <x:c r="A75" s="22" t="n">
        <x:v>0.005</x:v>
      </x:c>
      <x:c r="B75" s="22" t="n">
        <x:v>0.35</x:v>
      </x:c>
      <x:c r="C75" s="22" t="n">
        <x:v>0.05</x:v>
      </x:c>
      <x:c r="D75" s="6" t="n">
        <x:v>50000</x:v>
      </x:c>
      <x:c r="E75" s="6" t="n">
        <x:v>0.1875</x:v>
      </x:c>
      <x:c r="F75" s="6" t="n">
        <x:v>0.06562499999999999</x:v>
      </x:c>
      <x:c r="G75" s="6" t="n">
        <x:v>2.445169805444207</x:v>
      </x:c>
      <x:c r="H75" s="24" t="n">
        <x:v>24612.56448901076</x:v>
      </x:c>
      <x:c r="I75" s="24" t="n">
        <x:v>101813.36283321094</x:v>
      </x:c>
    </x:row>
    <x:row r="76" ht="20" customHeight="1">
      <x:c r="A76" s="22" t="n">
        <x:v>0.005</x:v>
      </x:c>
      <x:c r="B76" s="22" t="n">
        <x:v>0.35</x:v>
      </x:c>
      <x:c r="C76" s="22" t="n">
        <x:v>0.05</x:v>
      </x:c>
      <x:c r="D76" s="6" t="n">
        <x:v>100000</x:v>
      </x:c>
      <x:c r="E76" s="6" t="n">
        <x:v>0.1875</x:v>
      </x:c>
      <x:c r="F76" s="6" t="n">
        <x:v>0.06562499999999999</x:v>
      </x:c>
      <x:c r="G76" s="6" t="n">
        <x:v>2.445169805444207</x:v>
      </x:c>
      <x:c r="H76" s="24" t="n">
        <x:v>24612.56448901076</x:v>
      </x:c>
      <x:c r="I76" s="24" t="n">
        <x:v>224071.8531054213</x:v>
      </x:c>
    </x:row>
    <x:row r="77" ht="20" customHeight="1">
      <x:c r="A77" s="22" t="n">
        <x:v>0.005</x:v>
      </x:c>
      <x:c r="B77" s="22" t="n">
        <x:v>0.7</x:v>
      </x:c>
      <x:c r="C77" s="22" t="n">
        <x:v>0</x:v>
      </x:c>
      <x:c r="D77" s="6" t="n">
        <x:v>0</x:v>
      </x:c>
      <x:c r="E77" s="6" t="n">
        <x:v>0.1875</x:v>
      </x:c>
      <x:c r="F77" s="6" t="n">
        <x:v>0.13124999999999998</x:v>
      </x:c>
      <x:c r="G77" s="6" t="n">
        <x:v>4.65</x:v>
      </x:c>
      <x:c r="H77" s="24" t="n">
        <x:v>107249.99999999999</x:v>
      </x:c>
      <x:c r="I77" s="24" t="n">
        <x:v>-103082.56294998863</x:v>
      </x:c>
    </x:row>
    <x:row r="78" ht="20" customHeight="1">
      <x:c r="A78" s="22" t="n">
        <x:v>0.005</x:v>
      </x:c>
      <x:c r="B78" s="22" t="n">
        <x:v>0.7</x:v>
      </x:c>
      <x:c r="C78" s="22" t="n">
        <x:v>0</x:v>
      </x:c>
      <x:c r="D78" s="6" t="n">
        <x:v>50000</x:v>
      </x:c>
      <x:c r="E78" s="6" t="n">
        <x:v>0.1875</x:v>
      </x:c>
      <x:c r="F78" s="6" t="n">
        <x:v>0.13124999999999998</x:v>
      </x:c>
      <x:c r="G78" s="6" t="n">
        <x:v>4.65</x:v>
      </x:c>
      <x:c r="H78" s="24" t="n">
        <x:v>107249.99999999999</x:v>
      </x:c>
      <x:c r="I78" s="24" t="n">
        <x:v>129417.4370500114</x:v>
      </x:c>
    </x:row>
    <x:row r="79" ht="20" customHeight="1">
      <x:c r="A79" s="22" t="n">
        <x:v>0.005</x:v>
      </x:c>
      <x:c r="B79" s="22" t="n">
        <x:v>0.7</x:v>
      </x:c>
      <x:c r="C79" s="22" t="n">
        <x:v>0</x:v>
      </x:c>
      <x:c r="D79" s="6" t="n">
        <x:v>100000</x:v>
      </x:c>
      <x:c r="E79" s="6" t="n">
        <x:v>0.1875</x:v>
      </x:c>
      <x:c r="F79" s="6" t="n">
        <x:v>0.13124999999999998</x:v>
      </x:c>
      <x:c r="G79" s="6" t="n">
        <x:v>4.65</x:v>
      </x:c>
      <x:c r="H79" s="24" t="n">
        <x:v>107249.99999999999</x:v>
      </x:c>
      <x:c r="I79" s="24" t="n">
        <x:v>361917.4370500114</x:v>
      </x:c>
    </x:row>
    <x:row r="80" ht="20" customHeight="1">
      <x:c r="A80" s="22" t="n">
        <x:v>0.005</x:v>
      </x:c>
      <x:c r="B80" s="22" t="n">
        <x:v>0.7</x:v>
      </x:c>
      <x:c r="C80" s="22" t="n">
        <x:v>0.03</x:v>
      </x:c>
      <x:c r="D80" s="6" t="n">
        <x:v>0</x:v>
      </x:c>
      <x:c r="E80" s="6" t="n">
        <x:v>0.1875</x:v>
      </x:c>
      <x:c r="F80" s="6" t="n">
        <x:v>0.13124999999999998</x:v>
      </x:c>
      <x:c r="G80" s="6" t="n">
        <x:v>2.687092242001498</x:v>
      </x:c>
      <x:c r="H80" s="24" t="n">
        <x:v>61976.48235584099</x:v>
      </x:c>
      <x:c r="I80" s="24" t="n">
        <x:v>-57809.04530582964</x:v>
      </x:c>
    </x:row>
    <x:row r="81" ht="20" customHeight="1">
      <x:c r="A81" s="22" t="n">
        <x:v>0.005</x:v>
      </x:c>
      <x:c r="B81" s="22" t="n">
        <x:v>0.7</x:v>
      </x:c>
      <x:c r="C81" s="22" t="n">
        <x:v>0.03</x:v>
      </x:c>
      <x:c r="D81" s="6" t="n">
        <x:v>50000</x:v>
      </x:c>
      <x:c r="E81" s="6" t="n">
        <x:v>0.1875</x:v>
      </x:c>
      <x:c r="F81" s="6" t="n">
        <x:v>0.13124999999999998</x:v>
      </x:c>
      <x:c r="G81" s="6" t="n">
        <x:v>2.687092242001498</x:v>
      </x:c>
      <x:c r="H81" s="24" t="n">
        <x:v>61976.48235584099</x:v>
      </x:c>
      <x:c r="I81" s="24" t="n">
        <x:v>76545.56679424527</x:v>
      </x:c>
    </x:row>
    <x:row r="82" ht="20" customHeight="1">
      <x:c r="A82" s="22" t="n">
        <x:v>0.005</x:v>
      </x:c>
      <x:c r="B82" s="22" t="n">
        <x:v>0.7</x:v>
      </x:c>
      <x:c r="C82" s="22" t="n">
        <x:v>0.03</x:v>
      </x:c>
      <x:c r="D82" s="6" t="n">
        <x:v>100000</x:v>
      </x:c>
      <x:c r="E82" s="6" t="n">
        <x:v>0.1875</x:v>
      </x:c>
      <x:c r="F82" s="6" t="n">
        <x:v>0.13124999999999998</x:v>
      </x:c>
      <x:c r="G82" s="6" t="n">
        <x:v>2.687092242001498</x:v>
      </x:c>
      <x:c r="H82" s="24" t="n">
        <x:v>61976.48235584099</x:v>
      </x:c>
      <x:c r="I82" s="24" t="n">
        <x:v>210900.17889432018</x:v>
      </x:c>
    </x:row>
    <x:row r="83" ht="20" customHeight="1">
      <x:c r="A83" s="22" t="n">
        <x:v>0.005</x:v>
      </x:c>
      <x:c r="B83" s="22" t="n">
        <x:v>0.7</x:v>
      </x:c>
      <x:c r="C83" s="22" t="n">
        <x:v>0.05</x:v>
      </x:c>
      <x:c r="D83" s="6" t="n">
        <x:v>0</x:v>
      </x:c>
      <x:c r="E83" s="6" t="n">
        <x:v>0.1875</x:v>
      </x:c>
      <x:c r="F83" s="6" t="n">
        <x:v>0.13124999999999998</x:v>
      </x:c>
      <x:c r="G83" s="6" t="n">
        <x:v>1.994743788651853</x:v>
      </x:c>
      <x:c r="H83" s="24" t="n">
        <x:v>46007.800286647565</x:v>
      </x:c>
      <x:c r="I83" s="24" t="n">
        <x:v>-41840.363236636214</x:v>
      </x:c>
    </x:row>
    <x:row r="84" ht="20" customHeight="1">
      <x:c r="A84" s="22" t="n">
        <x:v>0.005</x:v>
      </x:c>
      <x:c r="B84" s="22" t="n">
        <x:v>0.7</x:v>
      </x:c>
      <x:c r="C84" s="22" t="n">
        <x:v>0.05</x:v>
      </x:c>
      <x:c r="D84" s="6" t="n">
        <x:v>50000</x:v>
      </x:c>
      <x:c r="E84" s="6" t="n">
        <x:v>0.1875</x:v>
      </x:c>
      <x:c r="F84" s="6" t="n">
        <x:v>0.13124999999999998</x:v>
      </x:c>
      <x:c r="G84" s="6" t="n">
        <x:v>1.994743788651853</x:v>
      </x:c>
      <x:c r="H84" s="24" t="n">
        <x:v>46007.800286647565</x:v>
      </x:c>
      <x:c r="I84" s="24" t="n">
        <x:v>57896.82619595645</x:v>
      </x:c>
    </x:row>
    <x:row r="85" ht="20" customHeight="1">
      <x:c r="A85" s="22" t="n">
        <x:v>0.005</x:v>
      </x:c>
      <x:c r="B85" s="22" t="n">
        <x:v>0.7</x:v>
      </x:c>
      <x:c r="C85" s="22" t="n">
        <x:v>0.05</x:v>
      </x:c>
      <x:c r="D85" s="6" t="n">
        <x:v>100000</x:v>
      </x:c>
      <x:c r="E85" s="6" t="n">
        <x:v>0.1875</x:v>
      </x:c>
      <x:c r="F85" s="6" t="n">
        <x:v>0.13124999999999998</x:v>
      </x:c>
      <x:c r="G85" s="6" t="n">
        <x:v>1.994743788651853</x:v>
      </x:c>
      <x:c r="H85" s="24" t="n">
        <x:v>46007.800286647565</x:v>
      </x:c>
      <x:c r="I85" s="24" t="n">
        <x:v>157634.0156285491</x:v>
      </x:c>
    </x:row>
    <x:row r="86" ht="20" customHeight="1">
      <x:c r="A86" s="22" t="n">
        <x:v>0.01</x:v>
      </x:c>
      <x:c r="B86" s="22" t="n">
        <x:v>0.1</x:v>
      </x:c>
      <x:c r="C86" s="22" t="n">
        <x:v>0</x:v>
      </x:c>
      <x:c r="D86" s="6" t="n">
        <x:v>0</x:v>
      </x:c>
      <x:c r="E86" s="6" t="n">
        <x:v>0.375</x:v>
      </x:c>
      <x:c r="F86" s="6" t="n">
        <x:v>0.037500000000000006</x:v>
      </x:c>
      <x:c r="G86" s="6" t="n">
        <x:v>12.9</x:v>
      </x:c>
      <x:c r="H86" s="24" t="n">
        <x:v>43500</x:v>
      </x:c>
      <x:c r="I86" s="24" t="n">
        <x:v>-39332.56294998865</x:v>
      </x:c>
    </x:row>
    <x:row r="87" ht="20" customHeight="1">
      <x:c r="A87" s="22" t="n">
        <x:v>0.01</x:v>
      </x:c>
      <x:c r="B87" s="22" t="n">
        <x:v>0.1</x:v>
      </x:c>
      <x:c r="C87" s="22" t="n">
        <x:v>0</x:v>
      </x:c>
      <x:c r="D87" s="6" t="n">
        <x:v>50000</x:v>
      </x:c>
      <x:c r="E87" s="6" t="n">
        <x:v>0.375</x:v>
      </x:c>
      <x:c r="F87" s="6" t="n">
        <x:v>0.037500000000000006</x:v>
      </x:c>
      <x:c r="G87" s="6" t="n">
        <x:v>12.9</x:v>
      </x:c>
      <x:c r="H87" s="24" t="n">
        <x:v>43500</x:v>
      </x:c>
      <x:c r="I87" s="24" t="n">
        <x:v>605667.4370500114</x:v>
      </x:c>
    </x:row>
    <x:row r="88" ht="20" customHeight="1">
      <x:c r="A88" s="22" t="n">
        <x:v>0.01</x:v>
      </x:c>
      <x:c r="B88" s="22" t="n">
        <x:v>0.1</x:v>
      </x:c>
      <x:c r="C88" s="22" t="n">
        <x:v>0</x:v>
      </x:c>
      <x:c r="D88" s="6" t="n">
        <x:v>100000</x:v>
      </x:c>
      <x:c r="E88" s="6" t="n">
        <x:v>0.375</x:v>
      </x:c>
      <x:c r="F88" s="6" t="n">
        <x:v>0.037500000000000006</x:v>
      </x:c>
      <x:c r="G88" s="6" t="n">
        <x:v>12.9</x:v>
      </x:c>
      <x:c r="H88" s="24" t="n">
        <x:v>43500</x:v>
      </x:c>
      <x:c r="I88" s="24" t="n">
        <x:v>1250667.4370500112</x:v>
      </x:c>
    </x:row>
    <x:row r="89" ht="20" customHeight="1">
      <x:c r="A89" s="22" t="n">
        <x:v>0.01</x:v>
      </x:c>
      <x:c r="B89" s="22" t="n">
        <x:v>0.1</x:v>
      </x:c>
      <x:c r="C89" s="22" t="n">
        <x:v>0.03</x:v>
      </x:c>
      <x:c r="D89" s="6" t="n">
        <x:v>0</x:v>
      </x:c>
      <x:c r="E89" s="6" t="n">
        <x:v>0.375</x:v>
      </x:c>
      <x:c r="F89" s="6" t="n">
        <x:v>0.037500000000000006</x:v>
      </x:c>
      <x:c r="G89" s="6" t="n">
        <x:v>7.454513961681575</x:v>
      </x:c>
      <x:c r="H89" s="24" t="n">
        <x:v>25137.314521949498</x:v>
      </x:c>
      <x:c r="I89" s="24" t="n">
        <x:v>-20969.877471938147</x:v>
      </x:c>
    </x:row>
    <x:row r="90" ht="20" customHeight="1">
      <x:c r="A90" s="22" t="n">
        <x:v>0.01</x:v>
      </x:c>
      <x:c r="B90" s="22" t="n">
        <x:v>0.1</x:v>
      </x:c>
      <x:c r="C90" s="22" t="n">
        <x:v>0.03</x:v>
      </x:c>
      <x:c r="D90" s="6" t="n">
        <x:v>50000</x:v>
      </x:c>
      <x:c r="E90" s="6" t="n">
        <x:v>0.375</x:v>
      </x:c>
      <x:c r="F90" s="6" t="n">
        <x:v>0.037500000000000006</x:v>
      </x:c>
      <x:c r="G90" s="6" t="n">
        <x:v>7.454513961681575</x:v>
      </x:c>
      <x:c r="H90" s="24" t="n">
        <x:v>25137.314521949498</x:v>
      </x:c>
      <x:c r="I90" s="24" t="n">
        <x:v>351755.8206121406</x:v>
      </x:c>
    </x:row>
    <x:row r="91" ht="20" customHeight="1">
      <x:c r="A91" s="22" t="n">
        <x:v>0.01</x:v>
      </x:c>
      <x:c r="B91" s="22" t="n">
        <x:v>0.1</x:v>
      </x:c>
      <x:c r="C91" s="22" t="n">
        <x:v>0.03</x:v>
      </x:c>
      <x:c r="D91" s="6" t="n">
        <x:v>100000</x:v>
      </x:c>
      <x:c r="E91" s="6" t="n">
        <x:v>0.375</x:v>
      </x:c>
      <x:c r="F91" s="6" t="n">
        <x:v>0.037500000000000006</x:v>
      </x:c>
      <x:c r="G91" s="6" t="n">
        <x:v>7.454513961681575</x:v>
      </x:c>
      <x:c r="H91" s="24" t="n">
        <x:v>25137.314521949498</x:v>
      </x:c>
      <x:c r="I91" s="24" t="n">
        <x:v>724481.5186962193</x:v>
      </x:c>
    </x:row>
    <x:row r="92" ht="20" customHeight="1">
      <x:c r="A92" s="22" t="n">
        <x:v>0.01</x:v>
      </x:c>
      <x:c r="B92" s="22" t="n">
        <x:v>0.1</x:v>
      </x:c>
      <x:c r="C92" s="22" t="n">
        <x:v>0.05</x:v>
      </x:c>
      <x:c r="D92" s="6" t="n">
        <x:v>0</x:v>
      </x:c>
      <x:c r="E92" s="6" t="n">
        <x:v>0.375</x:v>
      </x:c>
      <x:c r="F92" s="6" t="n">
        <x:v>0.037500000000000006</x:v>
      </x:c>
      <x:c r="G92" s="6" t="n">
        <x:v>5.533805349163204</x:v>
      </x:c>
      <x:c r="H92" s="24" t="n">
        <x:v>18660.506409968944</x:v>
      </x:c>
      <x:c r="I92" s="24" t="n">
        <x:v>-14493.069359957592</x:v>
      </x:c>
    </x:row>
    <x:row r="93" ht="20" customHeight="1">
      <x:c r="A93" s="22" t="n">
        <x:v>0.01</x:v>
      </x:c>
      <x:c r="B93" s="22" t="n">
        <x:v>0.1</x:v>
      </x:c>
      <x:c r="C93" s="22" t="n">
        <x:v>0.05</x:v>
      </x:c>
      <x:c r="D93" s="6" t="n">
        <x:v>50000</x:v>
      </x:c>
      <x:c r="E93" s="6" t="n">
        <x:v>0.375</x:v>
      </x:c>
      <x:c r="F93" s="6" t="n">
        <x:v>0.037500000000000006</x:v>
      </x:c>
      <x:c r="G93" s="6" t="n">
        <x:v>5.533805349163204</x:v>
      </x:c>
      <x:c r="H93" s="24" t="n">
        <x:v>18660.506409968944</x:v>
      </x:c>
      <x:c r="I93" s="24" t="n">
        <x:v>262197.19809820264</x:v>
      </x:c>
    </x:row>
    <x:row r="94" ht="20" customHeight="1">
      <x:c r="A94" s="22" t="n">
        <x:v>0.01</x:v>
      </x:c>
      <x:c r="B94" s="22" t="n">
        <x:v>0.1</x:v>
      </x:c>
      <x:c r="C94" s="22" t="n">
        <x:v>0.05</x:v>
      </x:c>
      <x:c r="D94" s="6" t="n">
        <x:v>100000</x:v>
      </x:c>
      <x:c r="E94" s="6" t="n">
        <x:v>0.375</x:v>
      </x:c>
      <x:c r="F94" s="6" t="n">
        <x:v>0.037500000000000006</x:v>
      </x:c>
      <x:c r="G94" s="6" t="n">
        <x:v>5.533805349163204</x:v>
      </x:c>
      <x:c r="H94" s="24" t="n">
        <x:v>18660.506409968944</x:v>
      </x:c>
      <x:c r="I94" s="24" t="n">
        <x:v>538887.4655563629</x:v>
      </x:c>
    </x:row>
    <x:row r="95" ht="20" customHeight="1">
      <x:c r="A95" s="22" t="n">
        <x:v>0.01</x:v>
      </x:c>
      <x:c r="B95" s="22" t="n">
        <x:v>0.35</x:v>
      </x:c>
      <x:c r="C95" s="22" t="n">
        <x:v>0</x:v>
      </x:c>
      <x:c r="D95" s="6" t="n">
        <x:v>0</x:v>
      </x:c>
      <x:c r="E95" s="6" t="n">
        <x:v>0.375</x:v>
      </x:c>
      <x:c r="F95" s="6" t="n">
        <x:v>0.13124999999999998</x:v>
      </x:c>
      <x:c r="G95" s="6" t="n">
        <x:v>11.400000000000002</x:v>
      </x:c>
      <x:c r="H95" s="24" t="n">
        <x:v>114749.99999999999</x:v>
      </x:c>
      <x:c r="I95" s="24" t="n">
        <x:v>-110582.56294998863</x:v>
      </x:c>
    </x:row>
    <x:row r="96" ht="20" customHeight="1">
      <x:c r="A96" s="22" t="n">
        <x:v>0.01</x:v>
      </x:c>
      <x:c r="B96" s="22" t="n">
        <x:v>0.35</x:v>
      </x:c>
      <x:c r="C96" s="22" t="n">
        <x:v>0</x:v>
      </x:c>
      <x:c r="D96" s="6" t="n">
        <x:v>50000</x:v>
      </x:c>
      <x:c r="E96" s="6" t="n">
        <x:v>0.375</x:v>
      </x:c>
      <x:c r="F96" s="6" t="n">
        <x:v>0.13124999999999998</x:v>
      </x:c>
      <x:c r="G96" s="6" t="n">
        <x:v>11.400000000000002</x:v>
      </x:c>
      <x:c r="H96" s="24" t="n">
        <x:v>114749.99999999999</x:v>
      </x:c>
      <x:c r="I96" s="24" t="n">
        <x:v>459417.4370500115</x:v>
      </x:c>
    </x:row>
    <x:row r="97" ht="20" customHeight="1">
      <x:c r="A97" s="22" t="n">
        <x:v>0.01</x:v>
      </x:c>
      <x:c r="B97" s="22" t="n">
        <x:v>0.35</x:v>
      </x:c>
      <x:c r="C97" s="22" t="n">
        <x:v>0</x:v>
      </x:c>
      <x:c r="D97" s="6" t="n">
        <x:v>100000</x:v>
      </x:c>
      <x:c r="E97" s="6" t="n">
        <x:v>0.375</x:v>
      </x:c>
      <x:c r="F97" s="6" t="n">
        <x:v>0.13124999999999998</x:v>
      </x:c>
      <x:c r="G97" s="6" t="n">
        <x:v>11.400000000000002</x:v>
      </x:c>
      <x:c r="H97" s="24" t="n">
        <x:v>114749.99999999999</x:v>
      </x:c>
      <x:c r="I97" s="24" t="n">
        <x:v>1029417.4370500115</x:v>
      </x:c>
    </x:row>
    <x:row r="98" ht="20" customHeight="1">
      <x:c r="A98" s="22" t="n">
        <x:v>0.01</x:v>
      </x:c>
      <x:c r="B98" s="22" t="n">
        <x:v>0.35</x:v>
      </x:c>
      <x:c r="C98" s="22" t="n">
        <x:v>0.03</x:v>
      </x:c>
      <x:c r="D98" s="6" t="n">
        <x:v>0</x:v>
      </x:c>
      <x:c r="E98" s="6" t="n">
        <x:v>0.375</x:v>
      </x:c>
      <x:c r="F98" s="6" t="n">
        <x:v>0.13124999999999998</x:v>
      </x:c>
      <x:c r="G98" s="6" t="n">
        <x:v>6.587710012648834</x:v>
      </x:c>
      <x:c r="H98" s="24" t="n">
        <x:v>66310.50210100469</x:v>
      </x:c>
      <x:c r="I98" s="24" t="n">
        <x:v>-62143.06505099334</x:v>
      </x:c>
    </x:row>
    <x:row r="99" ht="20" customHeight="1">
      <x:c r="A99" s="22" t="n">
        <x:v>0.01</x:v>
      </x:c>
      <x:c r="B99" s="22" t="n">
        <x:v>0.35</x:v>
      </x:c>
      <x:c r="C99" s="22" t="n">
        <x:v>0.03</x:v>
      </x:c>
      <x:c r="D99" s="6" t="n">
        <x:v>50000</x:v>
      </x:c>
      <x:c r="E99" s="6" t="n">
        <x:v>0.375</x:v>
      </x:c>
      <x:c r="F99" s="6" t="n">
        <x:v>0.13124999999999998</x:v>
      </x:c>
      <x:c r="G99" s="6" t="n">
        <x:v>6.587710012648834</x:v>
      </x:c>
      <x:c r="H99" s="24" t="n">
        <x:v>66310.50210100469</x:v>
      </x:c>
      <x:c r="I99" s="24" t="n">
        <x:v>267242.4355814484</x:v>
      </x:c>
    </x:row>
    <x:row r="100" ht="20" customHeight="1">
      <x:c r="A100" s="22" t="n">
        <x:v>0.01</x:v>
      </x:c>
      <x:c r="B100" s="22" t="n">
        <x:v>0.35</x:v>
      </x:c>
      <x:c r="C100" s="22" t="n">
        <x:v>0.03</x:v>
      </x:c>
      <x:c r="D100" s="6" t="n">
        <x:v>100000</x:v>
      </x:c>
      <x:c r="E100" s="6" t="n">
        <x:v>0.375</x:v>
      </x:c>
      <x:c r="F100" s="6" t="n">
        <x:v>0.13124999999999998</x:v>
      </x:c>
      <x:c r="G100" s="6" t="n">
        <x:v>6.587710012648834</x:v>
      </x:c>
      <x:c r="H100" s="24" t="n">
        <x:v>66310.50210100469</x:v>
      </x:c>
      <x:c r="I100" s="24" t="n">
        <x:v>596627.9362138901</x:v>
      </x:c>
    </x:row>
    <x:row r="101" ht="20" customHeight="1">
      <x:c r="A101" s="22" t="n">
        <x:v>0.01</x:v>
      </x:c>
      <x:c r="B101" s="22" t="n">
        <x:v>0.35</x:v>
      </x:c>
      <x:c r="C101" s="22" t="n">
        <x:v>0.05</x:v>
      </x:c>
      <x:c r="D101" s="6" t="n">
        <x:v>0</x:v>
      </x:c>
      <x:c r="E101" s="6" t="n">
        <x:v>0.375</x:v>
      </x:c>
      <x:c r="F101" s="6" t="n">
        <x:v>0.13124999999999998</x:v>
      </x:c>
      <x:c r="G101" s="6" t="n">
        <x:v>4.890339610888414</x:v>
      </x:c>
      <x:c r="H101" s="24" t="n">
        <x:v>49225.12897802152</x:v>
      </x:c>
      <x:c r="I101" s="24" t="n">
        <x:v>-45057.69192801017</x:v>
      </x:c>
    </x:row>
    <x:row r="102" ht="20" customHeight="1">
      <x:c r="A102" s="22" t="n">
        <x:v>0.01</x:v>
      </x:c>
      <x:c r="B102" s="22" t="n">
        <x:v>0.35</x:v>
      </x:c>
      <x:c r="C102" s="22" t="n">
        <x:v>0.05</x:v>
      </x:c>
      <x:c r="D102" s="6" t="n">
        <x:v>50000</x:v>
      </x:c>
      <x:c r="E102" s="6" t="n">
        <x:v>0.375</x:v>
      </x:c>
      <x:c r="F102" s="6" t="n">
        <x:v>0.13124999999999998</x:v>
      </x:c>
      <x:c r="G102" s="6" t="n">
        <x:v>4.890339610888414</x:v>
      </x:c>
      <x:c r="H102" s="24" t="n">
        <x:v>49225.12897802152</x:v>
      </x:c>
      <x:c r="I102" s="24" t="n">
        <x:v>199459.28861641051</x:v>
      </x:c>
    </x:row>
    <x:row r="103" ht="20" customHeight="1">
      <x:c r="A103" s="22" t="n">
        <x:v>0.01</x:v>
      </x:c>
      <x:c r="B103" s="22" t="n">
        <x:v>0.35</x:v>
      </x:c>
      <x:c r="C103" s="22" t="n">
        <x:v>0.05</x:v>
      </x:c>
      <x:c r="D103" s="6" t="n">
        <x:v>100000</x:v>
      </x:c>
      <x:c r="E103" s="6" t="n">
        <x:v>0.375</x:v>
      </x:c>
      <x:c r="F103" s="6" t="n">
        <x:v>0.13124999999999998</x:v>
      </x:c>
      <x:c r="G103" s="6" t="n">
        <x:v>4.890339610888414</x:v>
      </x:c>
      <x:c r="H103" s="24" t="n">
        <x:v>49225.12897802152</x:v>
      </x:c>
      <x:c r="I103" s="24" t="n">
        <x:v>443976.26916083123</x:v>
      </x:c>
    </x:row>
    <x:row r="104" ht="20" customHeight="1">
      <x:c r="A104" s="22" t="n">
        <x:v>0.01</x:v>
      </x:c>
      <x:c r="B104" s="22" t="n">
        <x:v>0.7</x:v>
      </x:c>
      <x:c r="C104" s="22" t="n">
        <x:v>0</x:v>
      </x:c>
      <x:c r="D104" s="6" t="n">
        <x:v>0</x:v>
      </x:c>
      <x:c r="E104" s="6" t="n">
        <x:v>0.375</x:v>
      </x:c>
      <x:c r="F104" s="6" t="n">
        <x:v>0.26249999999999996</x:v>
      </x:c>
      <x:c r="G104" s="6" t="n">
        <x:v>9.3</x:v>
      </x:c>
      <x:c r="H104" s="24" t="n">
        <x:v>214499.99999999997</x:v>
      </x:c>
      <x:c r="I104" s="24" t="n">
        <x:v>-210332.5629499886</x:v>
      </x:c>
    </x:row>
    <x:row r="105" ht="20" customHeight="1">
      <x:c r="A105" s="22" t="n">
        <x:v>0.01</x:v>
      </x:c>
      <x:c r="B105" s="22" t="n">
        <x:v>0.7</x:v>
      </x:c>
      <x:c r="C105" s="22" t="n">
        <x:v>0</x:v>
      </x:c>
      <x:c r="D105" s="6" t="n">
        <x:v>50000</x:v>
      </x:c>
      <x:c r="E105" s="6" t="n">
        <x:v>0.375</x:v>
      </x:c>
      <x:c r="F105" s="6" t="n">
        <x:v>0.26249999999999996</x:v>
      </x:c>
      <x:c r="G105" s="6" t="n">
        <x:v>9.3</x:v>
      </x:c>
      <x:c r="H105" s="24" t="n">
        <x:v>214499.99999999997</x:v>
      </x:c>
      <x:c r="I105" s="24" t="n">
        <x:v>254667.43705001145</x:v>
      </x:c>
    </x:row>
    <x:row r="106" ht="20" customHeight="1">
      <x:c r="A106" s="22" t="n">
        <x:v>0.01</x:v>
      </x:c>
      <x:c r="B106" s="22" t="n">
        <x:v>0.7</x:v>
      </x:c>
      <x:c r="C106" s="22" t="n">
        <x:v>0</x:v>
      </x:c>
      <x:c r="D106" s="6" t="n">
        <x:v>100000</x:v>
      </x:c>
      <x:c r="E106" s="6" t="n">
        <x:v>0.375</x:v>
      </x:c>
      <x:c r="F106" s="6" t="n">
        <x:v>0.26249999999999996</x:v>
      </x:c>
      <x:c r="G106" s="6" t="n">
        <x:v>9.3</x:v>
      </x:c>
      <x:c r="H106" s="24" t="n">
        <x:v>214499.99999999997</x:v>
      </x:c>
      <x:c r="I106" s="24" t="n">
        <x:v>719667.4370500115</x:v>
      </x:c>
    </x:row>
    <x:row r="107" ht="20" customHeight="1">
      <x:c r="A107" s="22" t="n">
        <x:v>0.01</x:v>
      </x:c>
      <x:c r="B107" s="22" t="n">
        <x:v>0.7</x:v>
      </x:c>
      <x:c r="C107" s="22" t="n">
        <x:v>0.03</x:v>
      </x:c>
      <x:c r="D107" s="6" t="n">
        <x:v>0</x:v>
      </x:c>
      <x:c r="E107" s="6" t="n">
        <x:v>0.375</x:v>
      </x:c>
      <x:c r="F107" s="6" t="n">
        <x:v>0.26249999999999996</x:v>
      </x:c>
      <x:c r="G107" s="6" t="n">
        <x:v>5.374184484002996</x:v>
      </x:c>
      <x:c r="H107" s="24" t="n">
        <x:v>123952.96471168198</x:v>
      </x:c>
      <x:c r="I107" s="24" t="n">
        <x:v>-119785.52766167063</x:v>
      </x:c>
    </x:row>
    <x:row r="108" ht="20" customHeight="1">
      <x:c r="A108" s="22" t="n">
        <x:v>0.01</x:v>
      </x:c>
      <x:c r="B108" s="22" t="n">
        <x:v>0.7</x:v>
      </x:c>
      <x:c r="C108" s="22" t="n">
        <x:v>0.03</x:v>
      </x:c>
      <x:c r="D108" s="6" t="n">
        <x:v>50000</x:v>
      </x:c>
      <x:c r="E108" s="6" t="n">
        <x:v>0.375</x:v>
      </x:c>
      <x:c r="F108" s="6" t="n">
        <x:v>0.26249999999999996</x:v>
      </x:c>
      <x:c r="G108" s="6" t="n">
        <x:v>5.374184484002996</x:v>
      </x:c>
      <x:c r="H108" s="24" t="n">
        <x:v>123952.96471168198</x:v>
      </x:c>
      <x:c r="I108" s="24" t="n">
        <x:v>148923.69653847918</x:v>
      </x:c>
    </x:row>
    <x:row r="109" ht="20" customHeight="1">
      <x:c r="A109" s="22" t="n">
        <x:v>0.01</x:v>
      </x:c>
      <x:c r="B109" s="22" t="n">
        <x:v>0.7</x:v>
      </x:c>
      <x:c r="C109" s="22" t="n">
        <x:v>0.03</x:v>
      </x:c>
      <x:c r="D109" s="6" t="n">
        <x:v>100000</x:v>
      </x:c>
      <x:c r="E109" s="6" t="n">
        <x:v>0.375</x:v>
      </x:c>
      <x:c r="F109" s="6" t="n">
        <x:v>0.26249999999999996</x:v>
      </x:c>
      <x:c r="G109" s="6" t="n">
        <x:v>5.374184484002996</x:v>
      </x:c>
      <x:c r="H109" s="24" t="n">
        <x:v>123952.96471168198</x:v>
      </x:c>
      <x:c r="I109" s="24" t="n">
        <x:v>417632.920738629</x:v>
      </x:c>
    </x:row>
    <x:row r="110" ht="20" customHeight="1">
      <x:c r="A110" s="22" t="n">
        <x:v>0.01</x:v>
      </x:c>
      <x:c r="B110" s="22" t="n">
        <x:v>0.7</x:v>
      </x:c>
      <x:c r="C110" s="22" t="n">
        <x:v>0.05</x:v>
      </x:c>
      <x:c r="D110" s="6" t="n">
        <x:v>0</x:v>
      </x:c>
      <x:c r="E110" s="6" t="n">
        <x:v>0.375</x:v>
      </x:c>
      <x:c r="F110" s="6" t="n">
        <x:v>0.26249999999999996</x:v>
      </x:c>
      <x:c r="G110" s="6" t="n">
        <x:v>3.989487577303706</x:v>
      </x:c>
      <x:c r="H110" s="24" t="n">
        <x:v>92015.60057329513</x:v>
      </x:c>
      <x:c r="I110" s="24" t="n">
        <x:v>-87848.16352328377</x:v>
      </x:c>
    </x:row>
    <x:row r="111" ht="20" customHeight="1">
      <x:c r="A111" s="22" t="n">
        <x:v>0.01</x:v>
      </x:c>
      <x:c r="B111" s="22" t="n">
        <x:v>0.7</x:v>
      </x:c>
      <x:c r="C111" s="22" t="n">
        <x:v>0.05</x:v>
      </x:c>
      <x:c r="D111" s="6" t="n">
        <x:v>50000</x:v>
      </x:c>
      <x:c r="E111" s="6" t="n">
        <x:v>0.375</x:v>
      </x:c>
      <x:c r="F111" s="6" t="n">
        <x:v>0.26249999999999996</x:v>
      </x:c>
      <x:c r="G111" s="6" t="n">
        <x:v>3.989487577303706</x:v>
      </x:c>
      <x:c r="H111" s="24" t="n">
        <x:v>92015.60057329513</x:v>
      </x:c>
      <x:c r="I111" s="24" t="n">
        <x:v>111626.21534190154</x:v>
      </x:c>
    </x:row>
    <x:row r="112" ht="20" customHeight="1">
      <x:c r="A112" s="22" t="n">
        <x:v>0.01</x:v>
      </x:c>
      <x:c r="B112" s="22" t="n">
        <x:v>0.7</x:v>
      </x:c>
      <x:c r="C112" s="22" t="n">
        <x:v>0.05</x:v>
      </x:c>
      <x:c r="D112" s="6" t="n">
        <x:v>100000</x:v>
      </x:c>
      <x:c r="E112" s="6" t="n">
        <x:v>0.375</x:v>
      </x:c>
      <x:c r="F112" s="6" t="n">
        <x:v>0.26249999999999996</x:v>
      </x:c>
      <x:c r="G112" s="6" t="n">
        <x:v>3.989487577303706</x:v>
      </x:c>
      <x:c r="H112" s="24" t="n">
        <x:v>92015.60057329513</x:v>
      </x:c>
      <x:c r="I112" s="24" t="n">
        <x:v>311100.59420708683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725283885ca42f2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0" customHeight="1">
      <x:c r="A1" s="3" t="str">
        <x:v>Funding sensitivity | Panda Vision v4</x:v>
      </x:c>
      <x:c r="B1" s="3"/>
      <x:c r="C1" s="3"/>
      <x:c r="D1" s="3"/>
      <x:c r="E1" s="3"/>
      <x:c r="F1" s="3"/>
      <x:c r="G1" s="3"/>
    </x:row>
    <x:row r="2" ht="45" customHeight="1">
      <x:c r="A2" s="7" t="str">
        <x:v>QEP and QWAU are unverified. Ratio grid is hypothetical, NOT a Queensland payment schedule.</x:v>
      </x:c>
      <x:c r="B2" s="7"/>
      <x:c r="C2" s="7"/>
      <x:c r="D2" s="7"/>
      <x:c r="E2" s="7"/>
      <x:c r="F2" s="7"/>
      <x:c r="G2" s="7"/>
    </x:row>
    <x:row r="4" ht="34" customHeight="1">
      <x:c r="A4" s="12" t="str">
        <x:v>nwau</x:v>
      </x:c>
      <x:c r="B4" s="12" t="str">
        <x:v>assumed_qwau_per_nwau</x:v>
      </x:c>
      <x:c r="C4" s="12" t="str">
        <x:v>nep</x:v>
      </x:c>
      <x:c r="D4" s="12" t="str">
        <x:v>assumed_qep_to_nep_ratio</x:v>
      </x:c>
      <x:c r="E4" s="12" t="str">
        <x:v>national_benchmark</x:v>
      </x:c>
      <x:c r="F4" s="12" t="str">
        <x:v>hypothetical_queensland_benchmark</x:v>
      </x:c>
      <x:c r="G4" s="12" t="str">
        <x:v>status</x:v>
      </x:c>
    </x:row>
    <x:row r="5" ht="20" customHeight="1">
      <x:c r="A5" s="6" t="n">
        <x:v>1</x:v>
      </x:c>
      <x:c r="B5" s="6" t="n">
        <x:v>0.9</x:v>
      </x:c>
      <x:c r="C5" s="6" t="n">
        <x:v>7418</x:v>
      </x:c>
      <x:c r="D5" s="6" t="n">
        <x:v>0.9</x:v>
      </x:c>
      <x:c r="E5" s="24" t="n">
        <x:v>7418</x:v>
      </x:c>
      <x:c r="F5" s="24" t="n">
        <x:v>6008.58</x:v>
      </x:c>
      <x:c r="G5" s="6" t="str">
        <x:v>sensitivity only; QEP and localisation unverified</x:v>
      </x:c>
    </x:row>
    <x:row r="6" ht="20" customHeight="1">
      <x:c r="A6" s="6" t="n">
        <x:v>1</x:v>
      </x:c>
      <x:c r="B6" s="6" t="n">
        <x:v>0.9</x:v>
      </x:c>
      <x:c r="C6" s="6" t="n">
        <x:v>7418</x:v>
      </x:c>
      <x:c r="D6" s="6" t="n">
        <x:v>1</x:v>
      </x:c>
      <x:c r="E6" s="24" t="n">
        <x:v>7418</x:v>
      </x:c>
      <x:c r="F6" s="24" t="n">
        <x:v>6676.2</x:v>
      </x:c>
      <x:c r="G6" s="6" t="str">
        <x:v>sensitivity only; QEP and localisation unverified</x:v>
      </x:c>
    </x:row>
    <x:row r="7" ht="20" customHeight="1">
      <x:c r="A7" s="6" t="n">
        <x:v>1</x:v>
      </x:c>
      <x:c r="B7" s="6" t="n">
        <x:v>0.9</x:v>
      </x:c>
      <x:c r="C7" s="6" t="n">
        <x:v>7418</x:v>
      </x:c>
      <x:c r="D7" s="6" t="n">
        <x:v>1.1</x:v>
      </x:c>
      <x:c r="E7" s="24" t="n">
        <x:v>7418</x:v>
      </x:c>
      <x:c r="F7" s="24" t="n">
        <x:v>7343.820000000001</x:v>
      </x:c>
      <x:c r="G7" s="6" t="str">
        <x:v>sensitivity only; QEP and localisation unverified</x:v>
      </x:c>
    </x:row>
    <x:row r="8" ht="20" customHeight="1">
      <x:c r="A8" s="6" t="n">
        <x:v>1</x:v>
      </x:c>
      <x:c r="B8" s="6" t="n">
        <x:v>1</x:v>
      </x:c>
      <x:c r="C8" s="6" t="n">
        <x:v>7418</x:v>
      </x:c>
      <x:c r="D8" s="6" t="n">
        <x:v>0.9</x:v>
      </x:c>
      <x:c r="E8" s="24" t="n">
        <x:v>7418</x:v>
      </x:c>
      <x:c r="F8" s="24" t="n">
        <x:v>6676.2</x:v>
      </x:c>
      <x:c r="G8" s="6" t="str">
        <x:v>sensitivity only; QEP and localisation unverified</x:v>
      </x:c>
    </x:row>
    <x:row r="9" ht="20" customHeight="1">
      <x:c r="A9" s="6" t="n">
        <x:v>1</x:v>
      </x:c>
      <x:c r="B9" s="6" t="n">
        <x:v>1</x:v>
      </x:c>
      <x:c r="C9" s="6" t="n">
        <x:v>7418</x:v>
      </x:c>
      <x:c r="D9" s="6" t="n">
        <x:v>1</x:v>
      </x:c>
      <x:c r="E9" s="24" t="n">
        <x:v>7418</x:v>
      </x:c>
      <x:c r="F9" s="24" t="n">
        <x:v>7418</x:v>
      </x:c>
      <x:c r="G9" s="6" t="str">
        <x:v>sensitivity only; QEP and localisation unverified</x:v>
      </x:c>
    </x:row>
    <x:row r="10" ht="20" customHeight="1">
      <x:c r="A10" s="6" t="n">
        <x:v>1</x:v>
      </x:c>
      <x:c r="B10" s="6" t="n">
        <x:v>1</x:v>
      </x:c>
      <x:c r="C10" s="6" t="n">
        <x:v>7418</x:v>
      </x:c>
      <x:c r="D10" s="6" t="n">
        <x:v>1.1</x:v>
      </x:c>
      <x:c r="E10" s="24" t="n">
        <x:v>7418</x:v>
      </x:c>
      <x:c r="F10" s="24" t="n">
        <x:v>8159.800000000001</x:v>
      </x:c>
      <x:c r="G10" s="6" t="str">
        <x:v>sensitivity only; QEP and localisation unverified</x:v>
      </x:c>
    </x:row>
    <x:row r="11" ht="20" customHeight="1">
      <x:c r="A11" s="6" t="n">
        <x:v>1</x:v>
      </x:c>
      <x:c r="B11" s="6" t="n">
        <x:v>1.1</x:v>
      </x:c>
      <x:c r="C11" s="6" t="n">
        <x:v>7418</x:v>
      </x:c>
      <x:c r="D11" s="6" t="n">
        <x:v>0.9</x:v>
      </x:c>
      <x:c r="E11" s="24" t="n">
        <x:v>7418</x:v>
      </x:c>
      <x:c r="F11" s="24" t="n">
        <x:v>7343.8200000000015</x:v>
      </x:c>
      <x:c r="G11" s="6" t="str">
        <x:v>sensitivity only; QEP and localisation unverified</x:v>
      </x:c>
    </x:row>
    <x:row r="12" ht="20" customHeight="1">
      <x:c r="A12" s="6" t="n">
        <x:v>1</x:v>
      </x:c>
      <x:c r="B12" s="6" t="n">
        <x:v>1.1</x:v>
      </x:c>
      <x:c r="C12" s="6" t="n">
        <x:v>7418</x:v>
      </x:c>
      <x:c r="D12" s="6" t="n">
        <x:v>1</x:v>
      </x:c>
      <x:c r="E12" s="24" t="n">
        <x:v>7418</x:v>
      </x:c>
      <x:c r="F12" s="24" t="n">
        <x:v>8159.800000000001</x:v>
      </x:c>
      <x:c r="G12" s="6" t="str">
        <x:v>sensitivity only; QEP and localisation unverified</x:v>
      </x:c>
    </x:row>
    <x:row r="13" ht="20" customHeight="1">
      <x:c r="A13" s="6" t="n">
        <x:v>1</x:v>
      </x:c>
      <x:c r="B13" s="6" t="n">
        <x:v>1.1</x:v>
      </x:c>
      <x:c r="C13" s="6" t="n">
        <x:v>7418</x:v>
      </x:c>
      <x:c r="D13" s="6" t="n">
        <x:v>1.1</x:v>
      </x:c>
      <x:c r="E13" s="24" t="n">
        <x:v>7418</x:v>
      </x:c>
      <x:c r="F13" s="24" t="n">
        <x:v>8975.780000000002</x:v>
      </x:c>
      <x:c r="G13" s="6" t="str">
        <x:v>sensitivity only; QEP and localisation unverified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7d340d56a57483b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</x:cols>
  <x:sheetData>
    <x:row r="1" ht="30" customHeight="1">
      <x:c r="A1" s="3" t="str">
        <x:v>Parameters | Panda Vision v4</x:v>
      </x:c>
      <x:c r="B1" s="3"/>
      <x:c r="C1" s="3"/>
      <x:c r="D1" s="3"/>
      <x:c r="E1" s="3"/>
    </x:row>
    <x:row r="2" ht="45" customHeight="1">
      <x:c r="A2" s="7" t="str">
        <x:v>Source, distribution and limitation mapping; many inputs remain analyst assumptions.</x:v>
      </x:c>
      <x:c r="B2" s="7"/>
      <x:c r="C2" s="7"/>
      <x:c r="D2" s="7"/>
      <x:c r="E2" s="7"/>
    </x:row>
    <x:row r="4" ht="34" customHeight="1">
      <x:c r="A4" s="12" t="str">
        <x:v>parameter</x:v>
      </x:c>
      <x:c r="B4" s="12" t="str">
        <x:v>base_value</x:v>
      </x:c>
      <x:c r="C4" s="12" t="str">
        <x:v>source_ids</x:v>
      </x:c>
      <x:c r="D4" s="12" t="str">
        <x:v>uncertainty</x:v>
      </x:c>
      <x:c r="E4" s="12" t="str">
        <x:v>interpretation</x:v>
      </x:c>
    </x:row>
    <x:row r="5" ht="68" customHeight="1">
      <x:c r="A5" s="7" t="str">
        <x:v>equipment_cost</x:v>
      </x:c>
      <x:c r="B5" s="7" t="str">
        <x:v>10000.0</x:v>
      </x:c>
      <x:c r="C5" s="7" t="str">
        <x:v>ELC2026;USER2026</x:v>
      </x:c>
      <x:c r="D5" s="7" t="str">
        <x:v>Triangular8000/10000/15000</x:v>
      </x:c>
      <x:c r="E5" s="7" t="str">
        <x:v>Per-installation price needs invoices</x:v>
      </x:c>
    </x:row>
    <x:row r="6" ht="68" customHeight="1">
      <x:c r="A6" s="7" t="str">
        <x:v>life_years</x:v>
      </x:c>
      <x:c r="B6" s="7" t="str">
        <x:v>5.0</x:v>
      </x:c>
      <x:c r="C6" s="7" t="str">
        <x:v>ASSUMPTION</x:v>
      </x:c>
      <x:c r="D6" s="7" t="str">
        <x:v>Triangular3/5/7</x:v>
      </x:c>
      <x:c r="E6" s="7" t="str">
        <x:v>Useful life, not observed reliability</x:v>
      </x:c>
    </x:row>
    <x:row r="7" ht="68" customHeight="1">
      <x:c r="A7" s="7" t="str">
        <x:v>discount</x:v>
      </x:c>
      <x:c r="B7" s="7" t="str">
        <x:v>0.05</x:v>
      </x:c>
      <x:c r="C7" s="7" t="str">
        <x:v>ASSUMPTION</x:v>
      </x:c>
      <x:c r="D7" s="7" t="str">
        <x:v>Scenarios0/3/5%</x:v>
      </x:c>
      <x:c r="E7" s="7" t="str">
        <x:v>Economic annuity; budget expenditure undiscounted</x:v>
      </x:c>
    </x:row>
    <x:row r="8" ht="68" customHeight="1">
      <x:c r="A8" s="7" t="str">
        <x:v>check_minutes</x:v>
      </x:c>
      <x:c r="B8" s="7" t="str">
        <x:v>10.0</x:v>
      </x:c>
      <x:c r="C8" s="7" t="str">
        <x:v>ELC2026;ASSUMPTION</x:v>
      </x:c>
      <x:c r="D8" s="7" t="str">
        <x:v>Triangular5/10/20</x:v>
      </x:c>
      <x:c r="E8" s="7" t="str">
        <x:v>Weekly checks reported; duration assumed</x:v>
      </x:c>
    </x:row>
    <x:row r="9" ht="68" customHeight="1">
      <x:c r="A9" s="7" t="str">
        <x:v>loaded_hour</x:v>
      </x:c>
      <x:c r="B9" s="7" t="str">
        <x:v>85.0</x:v>
      </x:c>
      <x:c r="C9" s="7" t="str">
        <x:v>ASSUMPTION</x:v>
      </x:c>
      <x:c r="D9" s="7" t="str">
        <x:v>Fixed85; scenario editable</x:v>
      </x:c>
      <x:c r="E9" s="7" t="str">
        <x:v>No asserted QH award-derived rate</x:v>
      </x:c>
    </x:row>
    <x:row r="10" ht="68" customHeight="1">
      <x:c r="A10" s="7" t="str">
        <x:v>support</x:v>
      </x:c>
      <x:c r="B10" s="7" t="str">
        <x:v>300.0</x:v>
      </x:c>
      <x:c r="C10" s="7" t="str">
        <x:v>ASSUMPTION</x:v>
      </x:c>
      <x:c r="D10" s="7" t="str">
        <x:v>Triangular0/300/1000</x:v>
      </x:c>
      <x:c r="E10" s="7" t="str">
        <x:v>Annual/site</x:v>
      </x:c>
    </x:row>
    <x:row r="11" ht="68" customHeight="1">
      <x:c r="A11" s="7" t="str">
        <x:v>training</x:v>
      </x:c>
      <x:c r="B11" s="7" t="str">
        <x:v>400.0</x:v>
      </x:c>
      <x:c r="C11" s="7" t="str">
        <x:v>ASSUMPTION;SANDHU2026</x:v>
      </x:c>
      <x:c r="D11" s="7" t="str">
        <x:v>Triangular100/400/1200</x:v>
      </x:c>
      <x:c r="E11" s="7" t="str">
        <x:v>Annual readiness/refresher effort</x:v>
      </x:c>
    </x:row>
    <x:row r="12" ht="68" customHeight="1">
      <x:c r="A12" s="7" t="str">
        <x:v>workflow_per_call</x:v>
      </x:c>
      <x:c r="B12" s="7" t="str">
        <x:v>75.0</x:v>
      </x:c>
      <x:c r="C12" s="7" t="str">
        <x:v>ASSUMPTION</x:v>
      </x:c>
      <x:c r="D12" s="7" t="str">
        <x:v>Triangular0/75/175</x:v>
      </x:c>
      <x:c r="E12" s="7" t="str">
        <x:v>Only added video effort; phone consultation exists in both arms</x:v>
      </x:c>
    </x:row>
    <x:row r="13" ht="68" customHeight="1">
      <x:c r="A13" s="7" t="str">
        <x:v>calls_per_pilot_site</x:v>
      </x:c>
      <x:c r="B13" s="7" t="str">
        <x:v>12.5</x:v>
      </x:c>
      <x:c r="C13" s="7" t="str">
        <x:v>USER2026</x:v>
      </x:c>
      <x:c r="D13" s="7" t="str">
        <x:v>Triangular10/12.5/15</x:v>
      </x:c>
      <x:c r="E13" s="7" t="str">
        <x:v>Forecast per site; NOT four-case event-rate estimator</x:v>
      </x:c>
    </x:row>
    <x:row r="14" ht="68" customHeight="1">
      <x:c r="A14" s="7" t="str">
        <x:v>birth_growth</x:v>
      </x:c>
      <x:c r="B14" s="7" t="str">
        <x:v>1.0</x:v>
      </x:c>
      <x:c r="C14" s="7" t="str">
        <x:v>QH2022;ASSUMPTION</x:v>
      </x:c>
      <x:c r="D14" s="7" t="str">
        <x:v>Triangular0.8/1/1.2</x:v>
      </x:c>
      <x:c r="E14" s="7" t="str">
        <x:v>Only state projections; historical count uncertainty explicit</x:v>
      </x:c>
    </x:row>
    <x:row r="15" ht="68" customHeight="1">
      <x:c r="A15" s="7" t="str">
        <x:v>state_uptake</x:v>
      </x:c>
      <x:c r="B15" s="7" t="str">
        <x:v>0.8</x:v>
      </x:c>
      <x:c r="C15" s="7" t="str">
        <x:v>ASSUMPTION</x:v>
      </x:c>
      <x:c r="D15" s="7" t="str">
        <x:v>Base80%; scenarios40/80/100%</x:v>
      </x:c>
      <x:c r="E15" s="7" t="str">
        <x:v>Not applied again to user pilot call forecasts</x:v>
      </x:c>
    </x:row>
    <x:row r="16" ht="68" customHeight="1">
      <x:c r="A16" s="7" t="str">
        <x:v>reliability</x:v>
      </x:c>
      <x:c r="B16" s="7" t="str">
        <x:v>0.95</x:v>
      </x:c>
      <x:c r="C16" s="7" t="str">
        <x:v>ASSUMPTION</x:v>
      </x:c>
      <x:c r="D16" s="7" t="str">
        <x:v>Beta19/1 mean95%</x:v>
      </x:c>
      <x:c r="E16" s="7" t="str">
        <x:v>Failures revert to telephone</x:v>
      </x:c>
    </x:row>
    <x:row r="17" ht="68" customHeight="1">
      <x:c r="A17" s="7" t="str">
        <x:v>odds_ratio</x:v>
      </x:c>
      <x:c r="B17" s="7" t="str">
        <x:v>0.6928203230275509</x:v>
      </x:c>
      <x:c r="C17" s="7" t="str">
        <x:v>HAY2020;LIETZ2026</x:v>
      </x:c>
      <x:c r="D17" s="7" t="str">
        <x:v>Published logOR-.734 SE.317;50%attenuation plus analystSD.35</x:v>
      </x:c>
      <x:c r="E17" s="7" t="str">
        <x:v>Null/published/skeptical structures; not fitted local effect</x:v>
      </x:c>
    </x:row>
    <x:row r="18" ht="68" customHeight="1">
      <x:c r="A18" s="7" t="str">
        <x:v>case_mix</x:v>
      </x:c>
      <x:c r="B18" s="7" t="str">
        <x:v>[0.35, 0.5, 0.15]</x:v>
      </x:c>
      <x:c r="C18" s="7" t="str">
        <x:v>ASSUMPTION;ANZNN2023</x:v>
      </x:c>
      <x:c r="D18" s="7" t="str">
        <x:v>Dirichlet7/10/3</x:v>
      </x:c>
      <x:c r="E18" s="7" t="str">
        <x:v>Low/moderate/critical shares are scenarios, NOT network incidence</x:v>
      </x:c>
    </x:row>
    <x:row r="19" ht="68" customHeight="1">
      <x:c r="A19" s="7" t="str">
        <x:v>baseline_transfer</x:v>
      </x:c>
      <x:c r="B19" s="7" t="str">
        <x:v>[0.3, 0.65, 0.98]</x:v>
      </x:c>
      <x:c r="C19" s="7" t="str">
        <x:v>ASSUMPTION;HAY2020</x:v>
      </x:c>
      <x:c r="D19" s="7" t="str">
        <x:v>Beta6/14 low;Beta13/7 moderate;critical.98</x:v>
      </x:c>
      <x:c r="E19" s="7" t="str">
        <x:v>External82% baseline is comparator only; no local observed p</x:v>
      </x:c>
    </x:row>
    <x:row r="20" ht="68" customHeight="1">
      <x:c r="A20" s="7" t="str">
        <x:v>rescue_rate</x:v>
      </x:c>
      <x:c r="B20" s="7" t="str">
        <x:v>0.05</x:v>
      </x:c>
      <x:c r="C20" s="7" t="str">
        <x:v>ASSUMPTION</x:v>
      </x:c>
      <x:c r="D20" s="7" t="str">
        <x:v>Beta1/19</x:v>
      </x:c>
      <x:c r="E20" s="7" t="str">
        <x:v>Delayed rescue applies to apparently avoided transfers, not every retained infant</x:v>
      </x:c>
    </x:row>
    <x:row r="21" ht="68" customHeight="1">
      <x:c r="A21" s="7" t="str">
        <x:v>rescue_premium</x:v>
      </x:c>
      <x:c r="B21" s="7" t="str">
        <x:v>10000.0</x:v>
      </x:c>
      <x:c r="C21" s="7" t="str">
        <x:v>ASSUMPTION</x:v>
      </x:c>
      <x:c r="D21" s="7" t="str">
        <x:v>Triangular0/10000/30000</x:v>
      </x:c>
      <x:c r="E21" s="7" t="str">
        <x:v>Additional urgent resource/harm cost; no proven local effect</x:v>
      </x:c>
    </x:row>
    <x:row r="22" ht="68" customHeight="1">
      <x:c r="A22" s="7" t="str">
        <x:v>road_cost</x:v>
      </x:c>
      <x:c r="B22" s="7" t="str">
        <x:v>4000.0</x:v>
      </x:c>
      <x:c r="C22" s="7" t="str">
        <x:v>ASSUMPTION</x:v>
      </x:c>
      <x:c r="D22" s="7" t="str">
        <x:v>Triangular2000/4000/8000</x:v>
      </x:c>
      <x:c r="E22" s="7" t="str">
        <x:v>Illustrative2staff*10h*150 +400km*.9+400coordination+240equipment=4000</x:v>
      </x:c>
    </x:row>
    <x:row r="23" ht="68" customHeight="1">
      <x:c r="A23" s="7" t="str">
        <x:v>air_multiplier</x:v>
      </x:c>
      <x:c r="B23" s="7" t="str">
        <x:v>1.0</x:v>
      </x:c>
      <x:c r="C23" s="7" t="str">
        <x:v>AIR2019;CPI2019;CPIBASE;CPI2026</x:v>
      </x:c>
      <x:c r="D23" s="7" t="str">
        <x:v>Lognormal anchored to indexed air cost;logSD.35;mode multipliers1.2/.9</x:v>
      </x:c>
      <x:c r="E23" s="7" t="str">
        <x:v>Mixed all-age air anchor, not neonatal tariff; source year2019 assumed</x:v>
      </x:c>
    </x:row>
    <x:row r="24" ht="68" customHeight="1">
      <x:c r="A24" s="7" t="str">
        <x:v>marginal_fraction</x:v>
      </x:c>
      <x:c r="B24" s="7" t="str">
        <x:v>0.5</x:v>
      </x:c>
      <x:c r="C24" s="7" t="str">
        <x:v>ASSUMPTION</x:v>
      </x:c>
      <x:c r="D24" s="7" t="str">
        <x:v>Beta2/2;25/50/100%scenarios</x:v>
      </x:c>
      <x:c r="E24" s="7" t="str">
        <x:v>Avoidable resources, not full fixed-service budget</x:v>
      </x:c>
    </x:row>
    <x:row r="25" ht="68" customHeight="1">
      <x:c r="A25" s="7" t="str">
        <x:v>downstream_delta</x:v>
      </x:c>
      <x:c r="B25" s="7" t="str">
        <x:v>2000.0</x:v>
      </x:c>
      <x:c r="C25" s="7" t="str">
        <x:v>ASSUMPTION;NEP26</x:v>
      </x:c>
      <x:c r="D25" s="7" t="str">
        <x:v>Triangular-4000/2000/10000</x:v>
      </x:c>
      <x:c r="E25" s="7" t="str">
        <x:v>Local added care can offset receiving-hospital saving; no double counting</x:v>
      </x:c>
    </x:row>
    <x:row r="26" ht="68" customHeight="1">
      <x:c r="A26" s="7" t="str">
        <x:v>family_delta</x:v>
      </x:c>
      <x:c r="B26" s="7" t="str">
        <x:v>1500.0</x:v>
      </x:c>
      <x:c r="C26" s="7" t="str">
        <x:v>ASSUMPTION</x:v>
      </x:c>
      <x:c r="D26" s="7" t="str">
        <x:v>Triangular0/1500/4000</x:v>
      </x:c>
      <x:c r="E26" s="7" t="str">
        <x:v>Travel/time effects, not monetised cultural harm</x:v>
      </x:c>
    </x:row>
    <x:row r="27" ht="68" customHeight="1">
      <x:c r="A27" s="7" t="str">
        <x:v>hub_annual_cost</x:v>
      </x:c>
      <x:c r="B27" s="7" t="str">
        <x:v>60000.0</x:v>
      </x:c>
      <x:c r="C27" s="7" t="str">
        <x:v>ASSUMPTION</x:v>
      </x:c>
      <x:c r="D27" s="7" t="str">
        <x:v>Base60000;0/150000scenarios</x:v>
      </x:c>
      <x:c r="E27" s="7" t="str">
        <x:v>Added network coordination/readiness, not existing telephone on-call service</x:v>
      </x:c>
    </x:row>
    <x:row r="28" ht="68" customHeight="1">
      <x:c r="A28" s="7" t="str">
        <x:v>capacity_threshold</x:v>
      </x:c>
      <x:c r="B28" s="7" t="str">
        <x:v>500.0</x:v>
      </x:c>
      <x:c r="C28" s="7" t="str">
        <x:v>ASSUMPTION</x:v>
      </x:c>
      <x:c r="D28" s="7" t="str">
        <x:v>500 consultations</x:v>
      </x:c>
      <x:c r="E28" s="7" t="str">
        <x:v>Capacity step testing; not observed capacity</x:v>
      </x:c>
    </x:row>
    <x:row r="29" ht="68" customHeight="1">
      <x:c r="A29" s="7" t="str">
        <x:v>capacity_step_cost</x:v>
      </x:c>
      <x:c r="B29" s="7" t="str">
        <x:v>30000.0</x:v>
      </x:c>
      <x:c r="C29" s="7" t="str">
        <x:v>ASSUMPTION</x:v>
      </x:c>
      <x:c r="D29" s="7" t="str">
        <x:v>30000 peradditional500calls</x:v>
      </x:c>
      <x:c r="E29" s="7" t="str">
        <x:v>Resource growth avoids assuming infinite free specialist capacity</x:v>
      </x:c>
    </x:row>
    <x:row r="30" ht="68" customHeight="1">
      <x:c r="A30" s="7" t="str">
        <x:v>mode_air_shift</x:v>
      </x:c>
      <x:c r="B30" s="7" t="str">
        <x:v>0.0</x:v>
      </x:c>
      <x:c r="C30" s="7" t="str">
        <x:v>ASSUMPTION</x:v>
      </x:c>
      <x:c r="D30" s="7" t="str">
        <x:v>Normal0/.1 clipped;±.25scenarios</x:v>
      </x:c>
      <x:c r="E30" s="7" t="str">
        <x:v>Geographic priors metro.85/.10/.05;regional.60/.25/.15;remote.15/.35/.50</x:v>
      </x:c>
    </x:row>
    <x:row r="31" ht="68" customHeight="1">
      <x:c r="A31" s="7" t="str">
        <x:v>include_capital</x:v>
      </x:c>
      <x:c r="B31" s="7" t="str">
        <x:v>true</x:v>
      </x:c>
      <x:c r="C31" s="7" t="str">
        <x:v>DECISION</x:v>
      </x:c>
      <x:c r="D31" s="7" t="str">
        <x:v>Full economic vs continuation cash</x:v>
      </x:c>
      <x:c r="E31" s="7" t="str">
        <x:v>Sunk capital excluded only in continuation scenario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fa328bb2dd149f7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</x:cols>
  <x:sheetData>
    <x:row r="1" ht="30" customHeight="1">
      <x:c r="A1" s="3" t="str">
        <x:v>Sources | Panda Vision v4</x:v>
      </x:c>
      <x:c r="B1" s="3"/>
      <x:c r="C1" s="3"/>
      <x:c r="D1" s="3"/>
      <x:c r="E1" s="3"/>
      <x:c r="F1" s="3"/>
    </x:row>
    <x:row r="2" ht="45" customHeight="1">
      <x:c r="A2" s="7" t="str">
        <x:v>Primary-source locators and known access/transportability limits. Not a claim of new full-text review.</x:v>
      </x:c>
      <x:c r="B2" s="7"/>
      <x:c r="C2" s="7"/>
      <x:c r="D2" s="7"/>
      <x:c r="E2" s="7"/>
      <x:c r="F2" s="7"/>
    </x:row>
    <x:row r="4" ht="34" customHeight="1">
      <x:c r="A4" s="12" t="str">
        <x:v>source_id</x:v>
      </x:c>
      <x:c r="B4" s="12" t="str">
        <x:v>publisher</x:v>
      </x:c>
      <x:c r="C4" s="12" t="str">
        <x:v>title</x:v>
      </x:c>
      <x:c r="D4" s="12" t="str">
        <x:v>data_year</x:v>
      </x:c>
      <x:c r="E4" s="12" t="str">
        <x:v>url</x:v>
      </x:c>
      <x:c r="F4" s="12" t="str">
        <x:v>limitations</x:v>
      </x:c>
    </x:row>
    <x:row r="5" ht="68" customHeight="1">
      <x:c r="A5" s="7" t="str">
        <x:v>QH2022</x:v>
      </x:c>
      <x:c r="B5" s="7" t="str">
        <x:v>Queensland Health</x:v>
      </x:c>
      <x:c r="C5" s="7" t="str">
        <x:v>Queensland Perinatal Statistics 2022, Chapter 8</x:v>
      </x:c>
      <x:c r="D5" s="7" t="str">
        <x:v>2022</x:v>
      </x:c>
      <x:c r="E5" s="7" t="str">
        <x:v>https://www.health.qld.gov.au/__data/assets/pdf_file/0020/1378010/8-fac2022x.pdf</x:v>
      </x:c>
      <x:c r="F5" s="7" t="str">
        <x:v>Table 8.09 screenshot verified; all 72 public rows transcribed; private aggregate only; historical not 2026</x:v>
      </x:c>
    </x:row>
    <x:row r="6" ht="68" customHeight="1">
      <x:c r="A6" s="7" t="str">
        <x:v>BDM2025</x:v>
      </x:c>
      <x:c r="B6" s="7" t="str">
        <x:v>Queensland Registrar</x:v>
      </x:c>
      <x:c r="C6" s="7" t="str">
        <x:v>Births by hospital 2025</x:v>
      </x:c>
      <x:c r="D6" s="7" t="str">
        <x:v>2025</x:v>
      </x:c>
      <x:c r="E6" s="7" t="str">
        <x:v>https://www.data.qld.gov.au/dataset/births-by-hospital/resource/51505dd2-c23d-4369-8ad8-c1d501c24e88</x:v>
      </x:c>
      <x:c r="F6" s="7" t="str">
        <x:v>Metadata verified; CSV/API access failed; no counts imported; registration transactions differ from perinatal births</x:v>
      </x:c>
    </x:row>
    <x:row r="7" ht="68" customHeight="1">
      <x:c r="A7" s="7" t="str">
        <x:v>ANZNN2023</x:v>
      </x:c>
      <x:c r="B7" s="7" t="str">
        <x:v>UNSW/ANZNN</x:v>
      </x:c>
      <x:c r="C7" s="7" t="str">
        <x:v>ANZNN report 2023</x:v>
      </x:c>
      <x:c r="D7" s="7" t="str">
        <x:v>2023</x:v>
      </x:c>
      <x:c r="E7" s="7" t="str">
        <x:v>https://www.unsw.edu.au/content/dam/images/medicine-health/npesu/research/annual-reports/2026-03-report-of-the-australian-and-new-zealand-neonatal-network-2023-excl-follow-up.pdf</x:v>
      </x:c>
      <x:c r="F7" s="7" t="str">
        <x:v>Published March 2026; 4 QLD NICUs and 7 participating SCNs located; selected high-risk cohort, not complete birth denominator</x:v>
      </x:c>
    </x:row>
    <x:row r="8" ht="68" customHeight="1">
      <x:c r="A8" s="7" t="str">
        <x:v>AIR2019</x:v>
      </x:c>
      <x:c r="B8" s="7" t="str">
        <x:v>RRH primary research</x:v>
      </x:c>
      <x:c r="C8" s="7" t="str">
        <x:v>SSTI healthcare resource use, Torres Strait</x:v>
      </x:c>
      <x:c r="D8" s="7" t="str">
        <x:v>2018-2019</x:v>
      </x:c>
      <x:c r="E8" s="7" t="str">
        <x:v>https://www.rrh.org.au/journal/article/8572/</x:v>
      </x:c>
      <x:c r="F8" s="7" t="str">
        <x:v>QH-provided aeromedical cost $18670; audit period 2018-2019, tariff price year not separately explicit; 2019 price base assumed, 2018 sensitivity</x:v>
      </x:c>
    </x:row>
    <x:row r="9" ht="68" customHeight="1">
      <x:c r="A9" s="7" t="str">
        <x:v>CPI2019</x:v>
      </x:c>
      <x:c r="B9" s="7" t="str">
        <x:v>ABS</x:v>
      </x:c>
      <x:c r="C9" s="7" t="str">
        <x:v>CPI June-quarter 2025 historical series</x:v>
      </x:c>
      <x:c r="D9" s="7" t="str">
        <x:v>2019</x:v>
      </x:c>
      <x:c r="E9" s="7" t="str">
        <x:v>https://www.abs.gov.au/statistics/economy/price-indexes-and-inflation/consumer-price-index-australia/jun-quarter-2025</x:v>
      </x:c>
      <x:c r="F9" s="7" t="str">
        <x:v>2019 quarterly indices 114.1,114.8,115.4,116.2; annual average115.125; 2018 annual average113.3; old base2011-12</x:v>
      </x:c>
    </x:row>
    <x:row r="10" ht="68" customHeight="1">
      <x:c r="A10" s="7" t="str">
        <x:v>CPIBASE</x:v>
      </x:c>
      <x:c r="B10" s="7" t="str">
        <x:v>ABS</x:v>
      </x:c>
      <x:c r="C10" s="7" t="str">
        <x:v>Re-referencing the quarterly CPI</x:v>
      </x:c>
      <x:c r="D10" s="7" t="str">
        <x:v>2026</x:v>
      </x:c>
      <x:c r="E10" s="7" t="str">
        <x:v>https://www.abs.gov.au/statistics/detailed-methodology-information/information-papers/re-referencing-quarterly-consumer-price-index</x:v>
      </x:c>
      <x:c r="F10" s="7" t="str">
        <x:v>Old Sep-quarter2025=143.6; new=99.73; conversion99.73/143.6. Approximate published rounded indices.</x:v>
      </x:c>
    </x:row>
    <x:row r="11" ht="68" customHeight="1">
      <x:c r="A11" s="7" t="str">
        <x:v>CPI2026</x:v>
      </x:c>
      <x:c r="B11" s="7" t="str">
        <x:v>ABS</x:v>
      </x:c>
      <x:c r="C11" s="7" t="str">
        <x:v>CPI June 2026</x:v>
      </x:c>
      <x:c r="D11" s="7" t="str">
        <x:v>2026</x:v>
      </x:c>
      <x:c r="E11" s="7" t="str">
        <x:v>https://www.abs.gov.au/statistics/economy/price-indexes-and-inflation/consumer-price-index-australia/jun-2026</x:v>
      </x:c>
      <x:c r="F11" s="7" t="str">
        <x:v>Monthly June2026 index102.03 on Sep-month2025=100. Explicit June2026 price point, not October2026 latest prices.</x:v>
      </x:c>
    </x:row>
    <x:row r="12" ht="68" customHeight="1">
      <x:c r="A12" s="7" t="str">
        <x:v>QHFUND26</x:v>
      </x:c>
      <x:c r="B12" s="7" t="str">
        <x:v>Queensland Health</x:v>
      </x:c>
      <x:c r="C12" s="7" t="str">
        <x:v>HHS Funding and Purchasing Guidelines</x:v>
      </x:c>
      <x:c r="D12" s="7" t="str">
        <x:v>2026</x:v>
      </x:c>
      <x:c r="E12" s="7" t="str">
        <x:v>https://www.publications.qld.gov.au/dataset/e1c2648f-eb8e-4e7f-a0d7-42604cd9212f/resource/c8b19f98-6a34-4db7-a660-1e60391e4325/download/hhs-funding-and-purchasing-guidelines.pdf</x:v>
      </x:c>
      <x:c r="F12" s="7" t="str">
        <x:v>GEN_WAU calculates NWAU/QWAU; QEP local funding; no verified current numeric QEP; detailed model internal</x:v>
      </x:c>
    </x:row>
    <x:row r="13" ht="68" customHeight="1">
      <x:c r="A13" s="7" t="str">
        <x:v>NEP26</x:v>
      </x:c>
      <x:c r="B13" s="7" t="str">
        <x:v>IHACPA</x:v>
      </x:c>
      <x:c r="C13" s="7" t="str">
        <x:v>National Efficient Price Determination 2026-27</x:v>
      </x:c>
      <x:c r="D13" s="7" t="str">
        <x:v>2026-27</x:v>
      </x:c>
      <x:c r="E13" s="7" t="str">
        <x:v>https://www.ihacpa.gov.au/resources/national-efficient-price-determination-2026-27</x:v>
      </x:c>
      <x:c r="F13" s="7" t="str">
        <x:v>NEP7418, AR-DRG12.0; national benchmark not marginal savings</x:v>
      </x:c>
    </x:row>
    <x:row r="14" ht="68" customHeight="1">
      <x:c r="A14" s="7" t="str">
        <x:v>MCHS</x:v>
      </x:c>
      <x:c r="B14" s="7" t="str">
        <x:v>Dylan Mordaunt GitHub</x:v>
      </x:c>
      <x:c r="C14" s="7" t="str">
        <x:v>mchs README and NWAU interface</x:v>
      </x:c>
      <x:c r="D14" s="7" t="str">
        <x:v>2026</x:v>
      </x:c>
      <x:c r="E14" s="7" t="str">
        <x:v>https://github.com/edithatogo/mchs</x:v>
      </x:c>
      <x:c r="F14" s="7" t="str">
        <x:v>Head9fc8d0f33df2aabaef8d4a10f25df12d41ff033e; README validates2024/2025 only; 2026 and QWAU not certified; optional interface rather than dependency</x:v>
      </x:c>
    </x:row>
    <x:row r="15" ht="68" customHeight="1">
      <x:c r="A15" s="7" t="str">
        <x:v>ELC2026</x:v>
      </x:c>
      <x:c r="B15" s="7" t="str">
        <x:v>CHHHS</x:v>
      </x:c>
      <x:c r="C15" s="7" t="str">
        <x:v>ELC item2.1.7 Panda Vision</x:v>
      </x:c>
      <x:c r="D15" s="7" t="str">
        <x:v>2026-10-21</x:v>
      </x:c>
      <x:c r="E15" s="7" t="str">
        <x:v>internal://CHHHS/ELC/2026-10-21/item2.1.7</x:v>
      </x:c>
      <x:c r="F15" s="7" t="str">
        <x:v>Installed three-site system; $10000 indicative; full confidential pack excluded from new public-data exports</x:v>
      </x:c>
    </x:row>
    <x:row r="16" ht="68" customHeight="1">
      <x:c r="A16" s="7" t="str">
        <x:v>USER2026</x:v>
      </x:c>
      <x:c r="B16" s="7" t="str">
        <x:v>Dylan Mordaunt</x:v>
      </x:c>
      <x:c r="C16" s="7" t="str">
        <x:v>User clarification</x:v>
      </x:c>
      <x:c r="D16" s="7" t="str">
        <x:v>2026-10-27</x:v>
      </x:c>
      <x:c r="E16" s="7" t="str">
        <x:v>conversation://panda-vision/2026-10-27</x:v>
      </x:c>
      <x:c r="F16" s="7" t="str">
        <x:v>4-5 Atherton cases; 10-15 anticipated consultations per site; no structured local elicitation prerequisite</x:v>
      </x:c>
    </x:row>
    <x:row r="17" ht="68" customHeight="1">
      <x:c r="A17" s="7" t="str">
        <x:v>NEOSTRESS2020</x:v>
      </x:c>
      <x:c r="B17" s="7" t="str">
        <x:v>Gilmour et al.</x:v>
      </x:c>
      <x:c r="C17" s="7" t="str">
        <x:v>NeoSTRESS neonatal retrieval sound study</x:v>
      </x:c>
      <x:c r="D17" s="7" t="str">
        <x:v>2020</x:v>
      </x:c>
      <x:c r="E17" s="7" t="str">
        <x:v>https://pubmed.ncbi.nlm.nih.gov/32949204/</x:v>
      </x:c>
      <x:c r="F17" s="7" t="str">
        <x:v>Brisbane45outbound non-patient legs:25road,11fixed,9rotary; convenience sample NOT dispatch census or FNQ mode probabilities</x:v>
      </x:c>
    </x:row>
    <x:row r="18" ht="68" customHeight="1">
      <x:c r="A18" s="7" t="str">
        <x:v>QAO2025</x:v>
      </x:c>
      <x:c r="B18" s="7" t="str">
        <x:v>Queensland Audit Office</x:v>
      </x:c>
      <x:c r="C18" s="7" t="str">
        <x:v>Health 2025, tabled 20 January 2026</x:v>
      </x:c>
      <x:c r="D18" s="7" t="str">
        <x:v>2024-25</x:v>
      </x:c>
      <x:c r="E18" s="7" t="str">
        <x:v>https://www.qao.qld.gov.au/reports-resources/reports-parliament/health-2025</x:v>
      </x:c>
      <x:c r="F18" s="7" t="str">
        <x:v>Funding price and actual costs differ; not a verified numeric QEP input</x:v>
      </x:c>
    </x:row>
    <x:row r="19" ht="68" customHeight="1">
      <x:c r="A19" s="7" t="str">
        <x:v>WEIPA2026</x:v>
      </x:c>
      <x:c r="B19" s="7" t="str">
        <x:v>Torres and Cape HHS</x:v>
      </x:c>
      <x:c r="C19" s="7" t="str">
        <x:v>Weipa maternity service celebrates 50th baby birth</x:v>
      </x:c>
      <x:c r="D19" s="7" t="str">
        <x:v>2025</x:v>
      </x:c>
      <x:c r="E19" s="7" t="str">
        <x:v>https://www.torres-cape.health.qld.gov.au/about-us/news/weipa-maternity-service-celebrates-50th-baby-birth</x:v>
      </x:c>
      <x:c r="F19" s="7" t="str">
        <x:v>32 births in2025; separate reopened-service scenario, not merged silently into2022 denominator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c64fd186f684898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  <x:col min="9" max="9" width="35" hidden="0" customWidth="1"/>
  </x:cols>
  <x:sheetData>
    <x:row r="1" ht="30" customHeight="1">
      <x:c r="A1" s="3" t="str">
        <x:v>Literature | Panda Vision v4</x:v>
      </x:c>
      <x:c r="B1" s="3"/>
      <x:c r="C1" s="3"/>
      <x:c r="D1" s="3"/>
      <x:c r="E1" s="3"/>
      <x:c r="F1" s="3"/>
      <x:c r="G1" s="3"/>
      <x:c r="H1" s="3"/>
      <x:c r="I1" s="3"/>
    </x:row>
    <x:row r="2" ht="45" customHeight="1">
      <x:c r="A2" s="7" t="str">
        <x:v>Seven-study parameter map; primarily abstract-verified, not a completed systematic review.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2" t="str">
        <x:v>study_id</x:v>
      </x:c>
      <x:c r="B4" s="12" t="str">
        <x:v>pmid</x:v>
      </x:c>
      <x:c r="C4" s="12" t="str">
        <x:v>study</x:v>
      </x:c>
      <x:c r="D4" s="12" t="str">
        <x:v>design</x:v>
      </x:c>
      <x:c r="E4" s="12" t="str">
        <x:v>quantitative_information</x:v>
      </x:c>
      <x:c r="F4" s="12" t="str">
        <x:v>model_use</x:v>
      </x:c>
      <x:c r="G4" s="12" t="str">
        <x:v>limitations</x:v>
      </x:c>
      <x:c r="H4" s="12" t="str">
        <x:v>review_depth</x:v>
      </x:c>
      <x:c r="I4" s="12" t="str">
        <x:v>url</x:v>
      </x:c>
    </x:row>
    <x:row r="5" ht="68" customHeight="1">
      <x:c r="A5" s="7" t="str">
        <x:v>ARM2012</x:v>
      </x:c>
      <x:c r="B5" s="7" t="str">
        <x:v>23148301</x:v>
      </x:c>
      <x:c r="C5" s="7" t="str">
        <x:v>Armfield et al. 2012</x:v>
      </x:c>
      <x:c r="D5" s="7" t="str">
        <x:v>Queensland observational economic study</x:v>
      </x:c>
      <x:c r="E5" s="7" t="str">
        <x:v>19 consultations;5 avoided transfers;4 helicopter;net saving AUD54400</x:v>
      </x:c>
      <x:c r="F5" s="7" t="str">
        <x:v>Historical benchmark; transport and equipment structure</x:v>
      </x:c>
      <x:c r="G5" s="7" t="str">
        <x:v>Not a causal effect; small selected sample; price base unresolved; not pooled with OR</x:v>
      </x:c>
      <x:c r="H5" s="7" t="str">
        <x:v>abstract verified</x:v>
      </x:c>
      <x:c r="I5" s="7" t="str">
        <x:v>https://pubmed.ncbi.nlm.nih.gov/23148301/</x:v>
      </x:c>
    </x:row>
    <x:row r="6" ht="68" customHeight="1">
      <x:c r="A6" s="7" t="str">
        <x:v>HAY2020</x:v>
      </x:c>
      <x:c r="B6" s="7" t="str">
        <x:v>32081766</x:v>
      </x:c>
      <x:c r="C6" s="7" t="str">
        <x:v>Haynes et al. 2020</x:v>
      </x:c>
      <x:c r="D6" s="7" t="str">
        <x:v>Observational comparison</x:v>
      </x:c>
      <x:c r="E6" s="7" t="str">
        <x:v>317 newborns;89video228phone;64%vs82%transfers;adjustedOR0.48 CI0.26-0.90</x:v>
      </x:c>
      <x:c r="F6" s="7" t="str">
        <x:v>Transfer effect logOR, published-effect scenario, attenuated prior</x:v>
      </x:c>
      <x:c r="G6" s="7" t="str">
        <x:v>Term/late-preterm only; selection/confounding; country/service transportability</x:v>
      </x:c>
      <x:c r="H6" s="7" t="str">
        <x:v>abstract verified</x:v>
      </x:c>
      <x:c r="I6" s="7" t="str">
        <x:v>https://pubmed.ncbi.nlm.nih.gov/32081766/</x:v>
      </x:c>
    </x:row>
    <x:row r="7" ht="68" customHeight="1">
      <x:c r="A7" s="7" t="str">
        <x:v>HAY2021</x:v>
      </x:c>
      <x:c r="B7" s="7" t="str">
        <x:v>33691080</x:v>
      </x:c>
      <x:c r="C7" s="7" t="str">
        <x:v>Haynes et al. 2021</x:v>
      </x:c>
      <x:c r="D7" s="7" t="str">
        <x:v>Observational stabilisation study</x:v>
      </x:c>
      <x:c r="E7" s="7" t="str">
        <x:v>209 transfers;adjusted difference-1.80min CI-16.0,12.4</x:v>
      </x:c>
      <x:c r="F7" s="7" t="str">
        <x:v>Default no time saving; uncertainty/counter-evidence</x:v>
      </x:c>
      <x:c r="G7" s="7" t="str">
        <x:v>Video group sicker; no demonstrated mortality or time gain; no conversion to survival</x:v>
      </x:c>
      <x:c r="H7" s="7" t="str">
        <x:v>abstract verified</x:v>
      </x:c>
      <x:c r="I7" s="7" t="str">
        <x:v>https://pubmed.ncbi.nlm.nih.gov/33691080/</x:v>
      </x:c>
    </x:row>
    <x:row r="8" ht="68" customHeight="1">
      <x:c r="A8" s="7" t="str">
        <x:v>YOO2022</x:v>
      </x:c>
      <x:c r="B8" s="7" t="str">
        <x:v>35074308</x:v>
      </x:c>
      <x:c r="C8" s="7" t="str">
        <x:v>Yoo et al. 2022</x:v>
      </x:c>
      <x:c r="D8" s="7" t="str">
        <x:v>Decision model/PSA/state extrapolation</x:v>
      </x:c>
      <x:c r="E8" s="7" t="str">
        <x:v>2017USD;ROI2.23 CI-0.7,6.0;75%cost-saving;1000draws</x:v>
      </x:c>
      <x:c r="F8" s="7" t="str">
        <x:v>Methods and comparison only; state model precedent</x:v>
      </x:c>
      <x:c r="G8" s="7" t="str">
        <x:v>Not independent clinical evidence; retain native prices; no Australian cost transplant</x:v>
      </x:c>
      <x:c r="H8" s="7" t="str">
        <x:v>abstract verified</x:v>
      </x:c>
      <x:c r="I8" s="7" t="str">
        <x:v>https://pubmed.ncbi.nlm.nih.gov/35074308/</x:v>
      </x:c>
    </x:row>
    <x:row r="9" ht="68" customHeight="1">
      <x:c r="A9" s="7" t="str">
        <x:v>THAO2022</x:v>
      </x:c>
      <x:c r="B9" s="7" t="str">
        <x:v>35235430</x:v>
      </x:c>
      <x:c r="C9" s="7" t="str">
        <x:v>Thao et al. 2022</x:v>
      </x:c>
      <x:c r="D9" s="7" t="str">
        <x:v>Decision tree/thresholds</x:v>
      </x:c>
      <x:c r="E9" s="7" t="str">
        <x:v>US costs16878vs28047;phone transfer82%;OR0.48;TN1821/consult</x:v>
      </x:c>
      <x:c r="F9" s="7" t="str">
        <x:v>Comparator/pathways; published transport probability scenario</x:v>
      </x:c>
      <x:c r="G9" s="7" t="str">
        <x:v>Effect shared with underlying observational study; do not double-count; USD not imported</x:v>
      </x:c>
      <x:c r="H9" s="7" t="str">
        <x:v>abstract verified</x:v>
      </x:c>
      <x:c r="I9" s="7" t="str">
        <x:v>https://pubmed.ncbi.nlm.nih.gov/35235430/</x:v>
      </x:c>
    </x:row>
    <x:row r="10" ht="68" customHeight="1">
      <x:c r="A10" s="7" t="str">
        <x:v>SANDHU2026</x:v>
      </x:c>
      <x:c r="B10" s="7" t="str">
        <x:v>42313572</x:v>
      </x:c>
      <x:c r="C10" s="7" t="str">
        <x:v>Sandhu et al. 2026</x:v>
      </x:c>
      <x:c r="D10" s="7" t="str">
        <x:v>Training/workshop</x:v>
      </x:c>
      <x:c r="E10" s="7" t="str">
        <x:v>20providers;confidence improves for intubation,UVC,thoracentesis</x:v>
      </x:c>
      <x:c r="F10" s="7" t="str">
        <x:v>Training/readiness cost mechanism only</x:v>
      </x:c>
      <x:c r="G10" s="7" t="str">
        <x:v>Confidence not patient outcomes; no effect-size insertion</x:v>
      </x:c>
      <x:c r="H10" s="7" t="str">
        <x:v>abstract verified</x:v>
      </x:c>
      <x:c r="I10" s="7" t="str">
        <x:v>https://pubmed.ncbi.nlm.nih.gov/42313572/</x:v>
      </x:c>
    </x:row>
    <x:row r="11" ht="68" customHeight="1">
      <x:c r="A11" s="7" t="str">
        <x:v>LIETZ2026</x:v>
      </x:c>
      <x:c r="B11" s="7" t="str">
        <x:v>42647428</x:v>
      </x:c>
      <x:c r="C11" s="7" t="str">
        <x:v>Lietz et al. 2026</x:v>
      </x:c>
      <x:c r="D11" s="7" t="str">
        <x:v>Randomised crossover simulation</x:v>
      </x:c>
      <x:c r="E11" s="7" t="str">
        <x:v>93participants;support38.37vs33.02 performance;no difference phone/video/AR</x:v>
      </x:c>
      <x:c r="F11" s="7" t="str">
        <x:v>Explicit no incremental video effect scenario; usability</x:v>
      </x:c>
      <x:c r="G11" s="7" t="str">
        <x:v>Simulation, not clinical equivalence trial; does not establish survival effect</x:v>
      </x:c>
      <x:c r="H11" s="7" t="str">
        <x:v>abstract verified</x:v>
      </x:c>
      <x:c r="I11" s="7" t="str">
        <x:v>https://pubmed.ncbi.nlm.nih.gov/42647428/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ddfcea4531c47bd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2" hidden="0" customWidth="1"/>
    <x:col min="4" max="4" width="85" hidden="0" customWidth="1"/>
  </x:cols>
  <x:sheetData>
    <x:row r="1" ht="30" customHeight="1">
      <x:c r="A1" s="3" t="str">
        <x:v>Assurance | Panda Vision v4</x:v>
      </x:c>
      <x:c r="B1" s="3"/>
      <x:c r="C1" s="3"/>
      <x:c r="D1" s="3"/>
    </x:row>
    <x:row r="2" ht="45" customHeight="1">
      <x:c r="A2" s="7" t="str">
        <x:v>Full acceptance unsuccessful: 6 passed, 22 blocked, 1 failed. Missing lock or unavailable tools cannot certify release.</x:v>
      </x:c>
      <x:c r="B2" s="7"/>
      <x:c r="C2" s="7"/>
      <x:c r="D2" s="7"/>
    </x:row>
    <x:row r="4" ht="34" customHeight="1">
      <x:c r="A4" s="12" t="str">
        <x:v>Gate</x:v>
      </x:c>
      <x:c r="B4" s="12" t="str">
        <x:v>Status</x:v>
      </x:c>
      <x:c r="C4" s="12" t="str">
        <x:v>Exit code</x:v>
      </x:c>
      <x:c r="D4" s="12" t="str">
        <x:v>Reason</x:v>
      </x:c>
    </x:row>
    <x:row r="5" ht="35" customHeight="1">
      <x:c r="A5" s="6" t="str">
        <x:v>pytest</x:v>
      </x:c>
      <x:c r="B5" s="6" t="str">
        <x:v>passed</x:v>
      </x:c>
      <x:c r="C5" s="6" t="n">
        <x:v>0</x:v>
      </x:c>
      <x:c r="D5" s="7" t="str"/>
    </x:row>
    <x:row r="6" ht="35" customHeight="1">
      <x:c r="A6" s="6" t="str">
        <x:v>inputs</x:v>
      </x:c>
      <x:c r="B6" s="6" t="str">
        <x:v>passed</x:v>
      </x:c>
      <x:c r="C6" s="6" t="n">
        <x:v>0</x:v>
      </x:c>
      <x:c r="D6" s="7" t="str"/>
    </x:row>
    <x:row r="7" ht="35" customHeight="1">
      <x:c r="A7" s="6" t="str">
        <x:v>context</x:v>
      </x:c>
      <x:c r="B7" s="6" t="str">
        <x:v>passed</x:v>
      </x:c>
      <x:c r="C7" s="6" t="n">
        <x:v>0</x:v>
      </x:c>
      <x:c r="D7" s="7" t="str"/>
    </x:row>
    <x:row r="8" ht="35" customHeight="1">
      <x:c r="A8" s="6" t="str">
        <x:v>coverage</x:v>
      </x:c>
      <x:c r="B8" s="6" t="str">
        <x:v>passed</x:v>
      </x:c>
      <x:c r="C8" s="6" t="n">
        <x:v>0</x:v>
      </x:c>
      <x:c r="D8" s="7" t="str"/>
    </x:row>
    <x:row r="9" ht="35" customHeight="1">
      <x:c r="A9" s="6" t="str">
        <x:v>coverage_threshold</x:v>
      </x:c>
      <x:c r="B9" s="6" t="str">
        <x:v>passed</x:v>
      </x:c>
      <x:c r="C9" s="6" t="n">
        <x:v>0</x:v>
      </x:c>
      <x:c r="D9" s="7" t="str"/>
    </x:row>
    <x:row r="10" ht="35" customHeight="1">
      <x:c r="A10" s="6" t="str">
        <x:v>core_coverage</x:v>
      </x:c>
      <x:c r="B10" s="6" t="str">
        <x:v>passed</x:v>
      </x:c>
      <x:c r="C10" s="6" t="n">
        <x:v>0</x:v>
      </x:c>
      <x:c r="D10" s="7" t="str"/>
    </x:row>
    <x:row r="11" ht="35" customHeight="1">
      <x:c r="A11" s="6" t="str">
        <x:v>ruff_lint</x:v>
      </x:c>
      <x:c r="B11" s="6" t="str">
        <x:v>blocked</x:v>
      </x:c>
      <x:c r="C11" s="6"/>
      <x:c r="D11" s="7" t="str">
        <x:v>Required Python tool is unavailable: ruff</x:v>
      </x:c>
    </x:row>
    <x:row r="12" ht="35" customHeight="1">
      <x:c r="A12" s="6" t="str">
        <x:v>ruff_format</x:v>
      </x:c>
      <x:c r="B12" s="6" t="str">
        <x:v>blocked</x:v>
      </x:c>
      <x:c r="C12" s="6"/>
      <x:c r="D12" s="7" t="str">
        <x:v>Required Python tool is unavailable: ruff</x:v>
      </x:c>
    </x:row>
    <x:row r="13" ht="35" customHeight="1">
      <x:c r="A13" s="6" t="str">
        <x:v>ty</x:v>
      </x:c>
      <x:c r="B13" s="6" t="str">
        <x:v>blocked</x:v>
      </x:c>
      <x:c r="C13" s="6"/>
      <x:c r="D13" s="7" t="str">
        <x:v>Required Python tool is unavailable: ty</x:v>
      </x:c>
    </x:row>
    <x:row r="14" ht="35" customHeight="1">
      <x:c r="A14" s="6" t="str">
        <x:v>basedpyright</x:v>
      </x:c>
      <x:c r="B14" s="6" t="str">
        <x:v>blocked</x:v>
      </x:c>
      <x:c r="C14" s="6"/>
      <x:c r="D14" s="7" t="str">
        <x:v>Required Python tool is unavailable: basedpyright</x:v>
      </x:c>
    </x:row>
    <x:row r="15" ht="35" customHeight="1">
      <x:c r="A15" s="6" t="str">
        <x:v>hypothesis</x:v>
      </x:c>
      <x:c r="B15" s="6" t="str">
        <x:v>blocked</x:v>
      </x:c>
      <x:c r="C15" s="6"/>
      <x:c r="D15" s="7" t="str">
        <x:v>Required Python tool is unavailable: hypothesis</x:v>
      </x:c>
    </x:row>
    <x:row r="16" ht="35" customHeight="1">
      <x:c r="A16" s="6" t="str">
        <x:v>gremlins</x:v>
      </x:c>
      <x:c r="B16" s="6" t="str">
        <x:v>blocked</x:v>
      </x:c>
      <x:c r="C16" s="6"/>
      <x:c r="D16" s="7" t="str">
        <x:v>Required Python tool is unavailable: pytest_gremlins</x:v>
      </x:c>
    </x:row>
    <x:row r="17" ht="35" customHeight="1">
      <x:c r="A17" s="6" t="str">
        <x:v>mutation_score</x:v>
      </x:c>
      <x:c r="B17" s="6" t="str">
        <x:v>blocked</x:v>
      </x:c>
      <x:c r="C17" s="6" t="n">
        <x:v>69</x:v>
      </x:c>
      <x:c r="D17" s="7" t="str">
        <x:v>Command exited 69</x:v>
      </x:c>
    </x:row>
    <x:row r="18" ht="35" customHeight="1">
      <x:c r="A18" s="6" t="str">
        <x:v>scalene</x:v>
      </x:c>
      <x:c r="B18" s="6" t="str">
        <x:v>blocked</x:v>
      </x:c>
      <x:c r="C18" s="6"/>
      <x:c r="D18" s="7" t="str">
        <x:v>Required Python tool is unavailable: scalene</x:v>
      </x:c>
    </x:row>
    <x:row r="19" ht="35" customHeight="1">
      <x:c r="A19" s="6" t="str">
        <x:v>scalene_output</x:v>
      </x:c>
      <x:c r="B19" s="6" t="str">
        <x:v>blocked</x:v>
      </x:c>
      <x:c r="C19" s="6" t="n">
        <x:v>69</x:v>
      </x:c>
      <x:c r="D19" s="7" t="str">
        <x:v>Command exited 69</x:v>
      </x:c>
    </x:row>
    <x:row r="20" ht="35" customHeight="1">
      <x:c r="A20" s="6" t="str">
        <x:v>gitleaks_history</x:v>
      </x:c>
      <x:c r="B20" s="6" t="str">
        <x:v>blocked</x:v>
      </x:c>
      <x:c r="C20" s="6"/>
      <x:c r="D20" s="7" t="str">
        <x:v>Executable unavailable: gitleaks</x:v>
      </x:c>
    </x:row>
    <x:row r="21" ht="35" customHeight="1">
      <x:c r="A21" s="6" t="str">
        <x:v>gitleaks_tree</x:v>
      </x:c>
      <x:c r="B21" s="6" t="str">
        <x:v>blocked</x:v>
      </x:c>
      <x:c r="C21" s="6"/>
      <x:c r="D21" s="7" t="str">
        <x:v>Executable unavailable: gitleaks</x:v>
      </x:c>
    </x:row>
    <x:row r="22" ht="35" customHeight="1">
      <x:c r="A22" s="6" t="str">
        <x:v>vale</x:v>
      </x:c>
      <x:c r="B22" s="6" t="str">
        <x:v>blocked</x:v>
      </x:c>
      <x:c r="C22" s="6"/>
      <x:c r="D22" s="7" t="str">
        <x:v>Executable unavailable: vale</x:v>
      </x:c>
    </x:row>
    <x:row r="23" ht="35" customHeight="1">
      <x:c r="A23" s="6" t="str">
        <x:v>dependency_consistency</x:v>
      </x:c>
      <x:c r="B23" s="6" t="str">
        <x:v>failed</x:v>
      </x:c>
      <x:c r="C23" s="6" t="n">
        <x:v>2</x:v>
      </x:c>
      <x:c r="D23" s="7" t="str">
        <x:v>Command exited 2</x:v>
      </x:c>
    </x:row>
    <x:row r="24" ht="35" customHeight="1">
      <x:c r="A24" s="6" t="str">
        <x:v>dependency_lock</x:v>
      </x:c>
      <x:c r="B24" s="6" t="str">
        <x:v>blocked</x:v>
      </x:c>
      <x:c r="C24" s="6" t="n">
        <x:v>69</x:v>
      </x:c>
      <x:c r="D24" s="7" t="str">
        <x:v>Command exited 69</x:v>
      </x:c>
    </x:row>
    <x:row r="25" ht="35" customHeight="1">
      <x:c r="A25" s="6" t="str">
        <x:v>native_versions</x:v>
      </x:c>
      <x:c r="B25" s="6" t="str">
        <x:v>blocked</x:v>
      </x:c>
      <x:c r="C25" s="6" t="n">
        <x:v>69</x:v>
      </x:c>
      <x:c r="D25" s="7" t="str">
        <x:v>Command exited 69</x:v>
      </x:c>
    </x:row>
    <x:row r="26" ht="35" customHeight="1">
      <x:c r="A26" s="6" t="str">
        <x:v>locked_versions</x:v>
      </x:c>
      <x:c r="B26" s="6" t="str">
        <x:v>blocked</x:v>
      </x:c>
      <x:c r="C26" s="6" t="n">
        <x:v>69</x:v>
      </x:c>
      <x:c r="D26" s="7" t="str">
        <x:v>Command exited 69</x:v>
      </x:c>
    </x:row>
    <x:row r="27" ht="35" customHeight="1">
      <x:c r="A27" s="6" t="str">
        <x:v>pip_audit</x:v>
      </x:c>
      <x:c r="B27" s="6" t="str">
        <x:v>blocked</x:v>
      </x:c>
      <x:c r="C27" s="6"/>
      <x:c r="D27" s="7" t="str">
        <x:v>Required Python tool is unavailable: pip_audit</x:v>
      </x:c>
    </x:row>
    <x:row r="28" ht="35" customHeight="1">
      <x:c r="A28" s="6" t="str">
        <x:v>sbom</x:v>
      </x:c>
      <x:c r="B28" s="6" t="str">
        <x:v>blocked</x:v>
      </x:c>
      <x:c r="C28" s="6"/>
      <x:c r="D28" s="7" t="str">
        <x:v>Required Python tool is unavailable: pip_audit</x:v>
      </x:c>
    </x:row>
    <x:row r="29" ht="35" customHeight="1">
      <x:c r="A29" s="6" t="str">
        <x:v>conductor_checkout</x:v>
      </x:c>
      <x:c r="B29" s="6" t="str">
        <x:v>blocked</x:v>
      </x:c>
      <x:c r="C29" s="6" t="n">
        <x:v>69</x:v>
      </x:c>
      <x:c r="D29" s="7" t="str">
        <x:v>Command exited 69</x:v>
      </x:c>
    </x:row>
    <x:row r="30" ht="35" customHeight="1">
      <x:c r="A30" s="6" t="str">
        <x:v>polars_consistency</x:v>
      </x:c>
      <x:c r="B30" s="6" t="str">
        <x:v>blocked</x:v>
      </x:c>
      <x:c r="C30" s="6"/>
      <x:c r="D30" s="7" t="str">
        <x:v>Required Python tool is unavailable: polars</x:v>
      </x:c>
    </x:row>
    <x:row r="31" ht="35" customHeight="1">
      <x:c r="A31" s="6" t="str">
        <x:v>actionlint</x:v>
      </x:c>
      <x:c r="B31" s="6" t="str">
        <x:v>blocked</x:v>
      </x:c>
      <x:c r="C31" s="6"/>
      <x:c r="D31" s="7" t="str">
        <x:v>Executable unavailable: actionlint</x:v>
      </x:c>
    </x:row>
    <x:row r="32" ht="35" customHeight="1">
      <x:c r="A32" s="6" t="str">
        <x:v>zizmor</x:v>
      </x:c>
      <x:c r="B32" s="6" t="str">
        <x:v>blocked</x:v>
      </x:c>
      <x:c r="C32" s="6"/>
      <x:c r="D32" s="7" t="str">
        <x:v>Executable unavailable: zizmor</x:v>
      </x:c>
    </x:row>
    <x:row r="33" ht="35" customHeight="1">
      <x:c r="A33" s="6" t="str">
        <x:v>prek_config</x:v>
      </x:c>
      <x:c r="B33" s="6" t="str">
        <x:v>blocked</x:v>
      </x:c>
      <x:c r="C33" s="6"/>
      <x:c r="D33" s="7" t="str">
        <x:v>Executable unavailable: prek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1288ee89e894fa5"/>
  </x:tableParts>
</x:worksheet>
</file>