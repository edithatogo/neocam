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e6fa2468644e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summary" sheetId="1" r:id="R182a19f3ca33496b"/>
    <x:sheet xmlns:r="http://schemas.openxmlformats.org/officeDocument/2006/relationships" name="Inputs" sheetId="2" r:id="Reff8a2d9d9804687"/>
    <x:sheet xmlns:r="http://schemas.openxmlformats.org/officeDocument/2006/relationships" name="Scenario analysis" sheetId="3" r:id="R116ea992eb784f95"/>
    <x:sheet xmlns:r="http://schemas.openxmlformats.org/officeDocument/2006/relationships" name="Probabilistic analysis" sheetId="4" r:id="R22e13d6204fd4e45"/>
    <x:sheet xmlns:r="http://schemas.openxmlformats.org/officeDocument/2006/relationships" name="Retrieval assumptions" sheetId="5" r:id="Rf6a12580c43b4750"/>
    <x:sheet xmlns:r="http://schemas.openxmlformats.org/officeDocument/2006/relationships" name="IHACPA benchmarks" sheetId="6" r:id="R311172276e4c4e7a"/>
    <x:sheet xmlns:r="http://schemas.openxmlformats.org/officeDocument/2006/relationships" name="Equipment options" sheetId="7" r:id="Rdbbdc5f551c14610"/>
    <x:sheet xmlns:r="http://schemas.openxmlformats.org/officeDocument/2006/relationships" name="Clinical outcome extension" sheetId="8" r:id="R316671af0f464dc6"/>
    <x:sheet xmlns:r="http://schemas.openxmlformats.org/officeDocument/2006/relationships" name="Evidence register" sheetId="9" r:id="Rda702864bb7a4889"/>
    <x:sheet xmlns:r="http://schemas.openxmlformats.org/officeDocument/2006/relationships" name="Methods and standards" sheetId="10" r:id="R1b4bb1449e6345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[Red](#,##0.0);-"/>
    <x:numFmt numFmtId="201" formatCode="$#,##0;[Red]($#,##0);-"/>
    <x:numFmt numFmtId="202" formatCode="0.0%;[Red](0.0%);-"/>
    <x:numFmt numFmtId="203" formatCode="0.0000"/>
    <x:numFmt numFmtId="204" formatCode="0.000"/>
  </x:numFmts>
  <x:fonts count="11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0"/>
      <x:color rgb="FFFFFFFF"/>
      <x:name val="Arial"/>
    </x:font>
    <x:font>
      <x:sz val="10"/>
      <x:name val="Arial"/>
    </x:font>
    <x:font>
      <x:sz val="10"/>
      <x:color rgb="FF0000FF"/>
      <x:name val="Arial"/>
    </x:font>
    <x:font>
      <x:sz val="10"/>
      <x:color rgb="FF008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535C"/>
      </x:patternFill>
    </x:fill>
    <x:fill>
      <x:patternFill patternType="solid">
        <x:fgColor rgb="FF2F8993"/>
      </x:patternFill>
    </x:fill>
  </x:fills>
  <x:borders count="2">
    <x:border/>
    <x:border/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6" fillId="3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6" fillId="3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/>
    <x:xf numFmtId="201" fontId="7" fillId="0" borderId="1" xfId="0" applyNumberFormat="1" applyFont="1" applyFill="1" applyBorder="1"/>
    <x:xf numFmtId="202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/>
    </x:xf>
    <x:xf numFmtId="201" fontId="7" fillId="0" borderId="0" xfId="0" applyNumberFormat="1" applyFont="1" applyFill="1" applyBorder="1" applyAlignment="1">
      <x:alignment vertical="top"/>
    </x:xf>
    <x:xf numFmtId="202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0" fontId="6" fillId="2" borderId="1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vertical="top"/>
    </x:xf>
    <x:xf numFmtId="0" fontId="6" fillId="3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/>
    </x:xf>
    <x:xf numFmtId="201" fontId="7" fillId="0" borderId="1" xfId="0" applyNumberFormat="1" applyFont="1" applyFill="1" applyBorder="1" applyAlignment="1">
      <x:alignment vertical="top"/>
    </x:xf>
    <x:xf numFmtId="202" fontId="7" fillId="0" borderId="1" xfId="0" applyNumberFormat="1" applyFont="1" applyFill="1" applyBorder="1" applyAlignment="1">
      <x:alignment vertical="top"/>
    </x:xf>
    <x:xf numFmtId="0" fontId="7" fillId="0" borderId="1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202" fontId="8" fillId="0" borderId="0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9" fillId="0" borderId="1" xfId="0" applyNumberFormat="1" applyFont="1" applyFill="1" applyBorder="1" applyAlignment="1">
      <x:alignment wrapText="1"/>
    </x:xf>
    <x:xf numFmtId="202" fontId="8" fillId="0" borderId="1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202" fontId="8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202" fontId="8" fillId="0" borderId="1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wrapText="1"/>
    </x:xf>
    <x:xf numFmtId="202" fontId="7" fillId="0" borderId="0" xfId="0" applyNumberFormat="1" applyFont="1" applyFill="1" applyBorder="1" applyAlignment="1">
      <x:alignment wrapText="1"/>
    </x:xf>
    <x:xf numFmtId="201" fontId="7" fillId="0" borderId="0" xfId="0" applyNumberFormat="1" applyFont="1" applyFill="1" applyBorder="1" applyAlignment="1">
      <x:alignment wrapText="1"/>
    </x:xf>
    <x:xf numFmtId="200" fontId="7" fillId="0" borderId="1" xfId="0" applyNumberFormat="1" applyFont="1" applyFill="1" applyBorder="1" applyAlignment="1">
      <x:alignment wrapText="1"/>
    </x:xf>
    <x:xf numFmtId="202" fontId="7" fillId="0" borderId="1" xfId="0" applyNumberFormat="1" applyFont="1" applyFill="1" applyBorder="1" applyAlignment="1">
      <x:alignment wrapText="1"/>
    </x:xf>
    <x:xf numFmtId="201" fontId="7" fillId="0" borderId="1" xfId="0" applyNumberFormat="1" applyFont="1" applyFill="1" applyBorder="1" applyAlignment="1">
      <x:alignment wrapText="1"/>
    </x:xf>
    <x:xf numFmtId="200" fontId="7" fillId="0" borderId="0" xfId="0" applyNumberFormat="1" applyFont="1" applyFill="1" applyBorder="1" applyAlignment="1">
      <x:alignment vertical="top" wrapText="1"/>
    </x:xf>
    <x:xf numFmtId="202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0" fontId="9" fillId="0" borderId="0" xfId="0" applyNumberFormat="1" applyFont="1" applyFill="1" applyBorder="1" applyAlignment="1">
      <x:alignment vertical="top"/>
    </x:xf>
    <x:xf numFmtId="0" fontId="9" fillId="0" borderId="1" xfId="0" applyNumberFormat="1" applyFont="1" applyFill="1" applyBorder="1" applyAlignment="1">
      <x:alignment vertical="top"/>
    </x:xf>
    <x:xf numFmtId="203" fontId="7" fillId="0" borderId="0" xfId="0" applyNumberFormat="1" applyFont="1" applyFill="1" applyBorder="1"/>
    <x:xf numFmtId="201" fontId="10" fillId="0" borderId="0" xfId="0" applyNumberFormat="1" applyFont="1" applyFill="1" applyBorder="1"/>
    <x:xf numFmtId="203" fontId="7" fillId="0" borderId="1" xfId="0" applyNumberFormat="1" applyFont="1" applyFill="1" applyBorder="1"/>
    <x:xf numFmtId="201" fontId="10" fillId="0" borderId="1" xfId="0" applyNumberFormat="1" applyFont="1" applyFill="1" applyBorder="1"/>
    <x:xf numFmtId="203" fontId="7" fillId="0" borderId="0" xfId="0" applyNumberFormat="1" applyFont="1" applyFill="1" applyBorder="1" applyAlignment="1">
      <x:alignment vertical="top"/>
    </x:xf>
    <x:xf numFmtId="201" fontId="10" fillId="0" borderId="0" xfId="0" applyNumberFormat="1" applyFont="1" applyFill="1" applyBorder="1" applyAlignment="1">
      <x:alignment vertical="top"/>
    </x:xf>
    <x:xf numFmtId="203" fontId="7" fillId="0" borderId="1" xfId="0" applyNumberFormat="1" applyFont="1" applyFill="1" applyBorder="1" applyAlignment="1">
      <x:alignment vertical="top"/>
    </x:xf>
    <x:xf numFmtId="201" fontId="10" fillId="0" borderId="1" xfId="0" applyNumberFormat="1" applyFont="1" applyFill="1" applyBorder="1" applyAlignment="1">
      <x:alignment vertical="top"/>
    </x:xf>
    <x:xf numFmtId="204" fontId="7" fillId="0" borderId="0" xfId="0" applyNumberFormat="1" applyFont="1" applyFill="1" applyBorder="1"/>
    <x:xf numFmtId="204" fontId="7" fillId="0" borderId="1" xfId="0" applyNumberFormat="1" applyFont="1" applyFill="1" applyBorder="1"/>
    <x:xf numFmtId="204" fontId="7" fillId="0" borderId="0" xfId="0" applyNumberFormat="1" applyFont="1" applyFill="1" applyBorder="1" applyAlignment="1">
      <x:alignment vertical="top"/>
    </x:xf>
    <x:xf numFmtId="204" fontId="7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1"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ca19bbd1e340d7" /><Relationship Type="http://schemas.openxmlformats.org/officeDocument/2006/relationships/theme" Target="/xl/theme/theme1.xml" Id="Reca02dd7d2634168" /><Relationship Type="http://schemas.openxmlformats.org/officeDocument/2006/relationships/sharedStrings" Target="/xl/sharedStrings.xml" Id="R9110b958628f4cfe" /><Relationship Type="http://schemas.openxmlformats.org/officeDocument/2006/relationships/worksheet" Target="/xl/worksheets/sheet1.xml" Id="R182a19f3ca33496b" /><Relationship Type="http://schemas.openxmlformats.org/officeDocument/2006/relationships/worksheet" Target="/xl/worksheets/sheet2.xml" Id="Reff8a2d9d9804687" /><Relationship Type="http://schemas.openxmlformats.org/officeDocument/2006/relationships/worksheet" Target="/xl/worksheets/sheet3.xml" Id="R116ea992eb784f95" /><Relationship Type="http://schemas.openxmlformats.org/officeDocument/2006/relationships/worksheet" Target="/xl/worksheets/sheet4.xml" Id="R22e13d6204fd4e45" /><Relationship Type="http://schemas.openxmlformats.org/officeDocument/2006/relationships/worksheet" Target="/xl/worksheets/sheet5.xml" Id="Rf6a12580c43b4750" /><Relationship Type="http://schemas.openxmlformats.org/officeDocument/2006/relationships/worksheet" Target="/xl/worksheets/sheet6.xml" Id="R311172276e4c4e7a" /><Relationship Type="http://schemas.openxmlformats.org/officeDocument/2006/relationships/worksheet" Target="/xl/worksheets/sheet7.xml" Id="Rdbbdc5f551c14610" /><Relationship Type="http://schemas.openxmlformats.org/officeDocument/2006/relationships/worksheet" Target="/xl/worksheets/sheet8.xml" Id="R316671af0f464dc6" /><Relationship Type="http://schemas.openxmlformats.org/officeDocument/2006/relationships/worksheet" Target="/xl/worksheets/sheet9.xml" Id="Rda702864bb7a4889" /><Relationship Type="http://schemas.openxmlformats.org/officeDocument/2006/relationships/worksheet" Target="/xl/worksheets/sheet10.xml" Id="R1b4bb1449e6345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8c782741a7c4e5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dfa11c6662a411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Annual health-system net saving by scenario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Consult/site</c:v>
          </c:tx>
          <c:cat>
            <c:strRef>
              <c:f>'Scenario analysis'!$A$4:$A$10</c:f>
              <c:strCache>
                <c:ptCount val="0"/>
              </c:strCache>
            </c:strRef>
          </c:cat>
          <c:val>
            <c:numRef>
              <c:f>'Scenario analysis'!$B$4:$B$10</c:f>
              <c:numCache>
                <c:formatCode>#,##0.0;[Red](#,##0.0);-</c:formatCode>
                <c:ptCount val="0"/>
              </c:numCache>
            </c:numRef>
          </c:val>
        </c:ser>
        <c:ser>
          <c:idx val="1"/>
          <c:order val="1"/>
          <c:tx>
            <c:v>Transfer reduction</c:v>
          </c:tx>
          <c:cat>
            <c:strRef>
              <c:f>'Scenario analysis'!$A$4:$A$10</c:f>
              <c:strCache>
                <c:ptCount val="0"/>
              </c:strCache>
            </c:strRef>
          </c:cat>
          <c:val>
            <c:numRef>
              <c:f>'Scenario analysis'!$C$4:$C$10</c:f>
              <c:numCache>
                <c:formatCode>0.0%;[Red](0.0%);-</c:formatCode>
                <c:ptCount val="0"/>
              </c:numCache>
            </c:numRef>
          </c:val>
        </c:ser>
        <c:ser>
          <c:idx val="2"/>
          <c:order val="2"/>
          <c:tx>
            <c:v>Avoided transfers</c:v>
          </c:tx>
          <c:cat>
            <c:strRef>
              <c:f>'Scenario analysis'!$A$4:$A$10</c:f>
              <c:strCache>
                <c:ptCount val="0"/>
              </c:strCache>
            </c:strRef>
          </c:cat>
          <c:val>
            <c:numRef>
              <c:f>'Scenario analysis'!$D$4:$D$10</c:f>
              <c:numCache>
                <c:formatCode>#,##0.0;[Red](#,##0.0);-</c:formatCode>
                <c:ptCount val="0"/>
              </c:numCache>
            </c:numRef>
          </c:val>
        </c:ser>
        <c:ser>
          <c:idx val="3"/>
          <c:order val="3"/>
          <c:tx>
            <c:v>Programme cost</c:v>
          </c:tx>
          <c:cat>
            <c:strRef>
              <c:f>'Scenario analysis'!$A$4:$A$10</c:f>
              <c:strCache>
                <c:ptCount val="0"/>
              </c:strCache>
            </c:strRef>
          </c:cat>
          <c:val>
            <c:numRef>
              <c:f>'Scenario analysis'!$E$4:$E$10</c:f>
              <c:numCache>
                <c:formatCode>$#,##0;[Red]($#,##0);-</c:formatCode>
                <c:ptCount val="0"/>
              </c:numCache>
            </c:numRef>
          </c:val>
        </c:ser>
        <c:ser>
          <c:idx val="4"/>
          <c:order val="4"/>
          <c:tx>
            <c:v>Weighted transfer cost</c:v>
          </c:tx>
          <c:cat>
            <c:strRef>
              <c:f>'Scenario analysis'!$A$4:$A$10</c:f>
              <c:strCache>
                <c:ptCount val="0"/>
              </c:strCache>
            </c:strRef>
          </c:cat>
          <c:val>
            <c:numRef>
              <c:f>'Scenario analysis'!$F$4:$F$10</c:f>
              <c:numCache>
                <c:formatCode>$#,##0;[Red]($#,##0);-</c:formatCode>
                <c:ptCount val="0"/>
              </c:numCache>
            </c:numRef>
          </c:val>
        </c:ser>
        <c:ser>
          <c:idx val="5"/>
          <c:order val="5"/>
          <c:tx>
            <c:v>Health-system net</c:v>
          </c:tx>
          <c:cat>
            <c:strRef>
              <c:f>'Scenario analysis'!$A$4:$A$10</c:f>
              <c:strCache>
                <c:ptCount val="0"/>
              </c:strCache>
            </c:strRef>
          </c:cat>
          <c:val>
            <c:numRef>
              <c:f>'Scenario analysis'!$G$4:$G$10</c:f>
              <c:numCache>
                <c:formatCode>$#,##0;[Red]($#,##0);-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Distribution of annual health-system net saving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Simulation count</c:v>
          </c:tx>
          <c:cat>
            <c:strRef>
              <c:f>'Probabilistic analysis'!$D$4:$D$23</c:f>
              <c:strCache>
                <c:ptCount val="0"/>
              </c:strCache>
            </c:strRef>
          </c:cat>
          <c:val>
            <c:numRef>
              <c:f>'Probabilistic analysis'!$E$4:$E$23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13</xdr:row>
      <xdr:rowOff>0</xdr:rowOff>
    </xdr:from>
    <xdr:to>
      <xdr:col>9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8c782741a7c4e5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dfa11c6662a411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8698ab4e3be34a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c95e2f2e1aa44c31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22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5" hidden="0" customWidth="1"/>
    <x:col min="8" max="8" width="20" hidden="0" customWidth="1"/>
  </x:cols>
  <x:sheetData>
    <x:row r="1" ht="28" customHeight="1">
      <x:c r="A1" s="64" t="str">
        <x:v>PANDA VISION | MODEL-BASED ECONOMIC EVALUATION</x:v>
      </x:c>
      <x:c r="B1" s="64" t="str">
        <x:v>PANDA VISION | MODEL-BASED ECONOMIC EVALUATION</x:v>
      </x:c>
      <x:c r="C1" s="64" t="str">
        <x:v>PANDA VISION | MODEL-BASED ECONOMIC EVALUATION</x:v>
      </x:c>
      <x:c r="D1" s="64" t="str">
        <x:v>PANDA VISION | MODEL-BASED ECONOMIC EVALUATION</x:v>
      </x:c>
      <x:c r="E1" s="64" t="str">
        <x:v>PANDA VISION | MODEL-BASED ECONOMIC EVALUATION</x:v>
      </x:c>
      <x:c r="F1" s="64" t="str">
        <x:v>PANDA VISION | MODEL-BASED ECONOMIC EVALUATION</x:v>
      </x:c>
      <x:c r="G1" s="64" t="str">
        <x:v>PANDA VISION | MODEL-BASED ECONOMIC EVALUATION</x:v>
      </x:c>
      <x:c r="H1" s="64" t="str">
        <x:v>PANDA VISION | MODEL-BASED ECONOMIC EVALUATION</x:v>
      </x:c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str">
        <x:v>Decision question</x:v>
      </x:c>
      <x:c r="B3" s="66" t="str">
        <x:v>Current pilot</x:v>
      </x:c>
      <x:c r="C3" s="66" t="str">
        <x:v>Annual activity</x:v>
      </x:c>
      <x:c r="D3" s="66" t="str">
        <x:v>Economic cost</x:v>
      </x:c>
      <x:c r="E3" s="66" t="str">
        <x:v>Break-even effect</x:v>
      </x:c>
      <x:c r="F3" s="66" t="str">
        <x:v>PSA cost-saving</x:v>
      </x:c>
      <x:c r="G3" s="66" t="str">
        <x:v>PSA median net</x:v>
      </x:c>
      <x:c r="H3" s="66" t="str">
        <x:v>95% interval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5" t="str">
        <x:v>Invest in/continue video-enabled neonatal consultation</x:v>
      </x:c>
      <x:c r="B4" s="65" t="str">
        <x:v>Atherton, Mareeba, Innisfail</x:v>
      </x:c>
      <x:c r="C4" s="67" t="n">
        <x:v>37.5</x:v>
      </x:c>
      <x:c r="D4" s="68" t="n">
        <x:v>11922.5</x:v>
      </x:c>
      <x:c r="E4" s="69" t="n">
        <x:v>0.02035135135135135</x:v>
      </x:c>
      <x:c r="F4" s="69" t="n">
        <x:v>0.75425</x:v>
      </x:c>
      <x:c r="G4" s="68" t="n">
        <x:v>32882.93246454526</x:v>
      </x:c>
      <x:c r="H4" s="65" t="str">
        <x:v>$-57,739 to $162,706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/>
      <x:c r="B5" s="65"/>
      <x:c r="C5" s="65"/>
      <x:c r="D5" s="65"/>
      <x:c r="E5" s="65"/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5"/>
      <x:c r="B6" s="65"/>
      <x:c r="C6" s="65"/>
      <x:c r="D6" s="65"/>
      <x:c r="E6" s="65"/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6" t="str">
        <x:v>INTERPRETATION</x:v>
      </x:c>
      <x:c r="B7" s="66"/>
      <x:c r="C7" s="66"/>
      <x:c r="D7" s="66"/>
      <x:c r="E7" s="66"/>
      <x:c r="F7" s="66"/>
      <x:c r="G7" s="66"/>
      <x:c r="H7" s="66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6" t="str">
        <x:v>Finding</x:v>
      </x:c>
      <x:c r="B8" s="66" t="str">
        <x:v>Meaning</x:v>
      </x:c>
      <x:c r="C8" s="70" t="str"/>
      <x:c r="D8" s="70" t="str"/>
      <x:c r="E8" s="70" t="str"/>
      <x:c r="F8" s="70" t="str"/>
      <x:c r="G8" s="70" t="str"/>
      <x:c r="H8" s="70" t="str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70" t="str">
        <x:v>The programme can be cost-saving with small transfer effects</x:v>
      </x:c>
      <x:c r="B9" s="70" t="str">
        <x:v>At base costs, break-even is an absolute reduction of about 2 percentage points across all consultations. This is not an observed local effect.</x:v>
      </x:c>
      <x:c r="C9" s="70" t="str"/>
      <x:c r="D9" s="70" t="str"/>
      <x:c r="E9" s="70" t="str"/>
      <x:c r="F9" s="70" t="str"/>
      <x:c r="G9" s="70" t="str"/>
      <x:c r="H9" s="70" t="str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70" t="str">
        <x:v>Uncertainty is material</x:v>
      </x:c>
      <x:c r="B10" s="70" t="str">
        <x:v>The PSA allows video to increase transfers and produces a wide interval. The probability of cost-saving is a decision aid, not proof.</x:v>
      </x:c>
      <x:c r="C10" s="70" t="str"/>
      <x:c r="D10" s="70" t="str"/>
      <x:c r="E10" s="70" t="str"/>
      <x:c r="F10" s="70" t="str"/>
      <x:c r="G10" s="70" t="str"/>
      <x:c r="H10" s="70" t="str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70" t="str">
        <x:v>Clinical value is not exhausted by transfer avoidance</x:v>
      </x:c>
      <x:c r="B11" s="70" t="str">
        <x:v>Earlier procedures, better stabilisation, family communication and survival/morbidity remain separate consequences.</x:v>
      </x:c>
      <x:c r="C11" s="70" t="str"/>
      <x:c r="D11" s="70" t="str"/>
      <x:c r="E11" s="70" t="str"/>
      <x:c r="F11" s="70" t="str"/>
      <x:c r="G11" s="70" t="str"/>
      <x:c r="H11" s="70" t="str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6" t="str">
        <x:v>RECOMMENDATION</x:v>
      </x:c>
      <x:c r="B13" s="66"/>
      <x:c r="C13" s="66"/>
      <x:c r="D13" s="66"/>
      <x:c r="E13" s="66"/>
      <x:c r="F13" s="66"/>
      <x:c r="G13" s="66"/>
      <x:c r="H13" s="66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70" t="str">
        <x:v>Continue the existing pilot while completing a retrospective review of the 4–5 Atherton episodes and verifying invoices, installed components and retrieval-mode costs. Use the model for local, state and national investment decisions, with deterministic scenarios and PSA rather than a single point estimate. Treat a tablet-integrated configuration as an engineering/ICT option requiring BTS, eHealth and QH Portal validation—not as an already approved product.</x:v>
      </x:c>
      <x:c r="B14" s="70"/>
      <x:c r="C14" s="70"/>
      <x:c r="D14" s="70"/>
      <x:c r="E14" s="70"/>
      <x:c r="F14" s="70"/>
      <x:c r="G14" s="70"/>
      <x:c r="H14" s="70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70"/>
      <x:c r="B15" s="70"/>
      <x:c r="C15" s="70"/>
      <x:c r="D15" s="70"/>
      <x:c r="E15" s="70"/>
      <x:c r="F15" s="70"/>
      <x:c r="G15" s="70"/>
      <x:c r="H15" s="70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70"/>
      <x:c r="B16" s="70"/>
      <x:c r="C16" s="70"/>
      <x:c r="D16" s="70"/>
      <x:c r="E16" s="70"/>
      <x:c r="F16" s="70"/>
      <x:c r="G16" s="70"/>
      <x:c r="H16" s="70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H1"/>
    <x:mergeCell ref="A7:H7"/>
    <x:mergeCell ref="A13:H13"/>
    <x:mergeCell ref="A14:H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2" hidden="0" customWidth="1"/>
    <x:col min="4" max="4" width="12" hidden="0" customWidth="1"/>
    <x:col min="5" max="5" width="18" hidden="0" customWidth="1"/>
    <x:col min="6" max="6" width="24" hidden="0" customWidth="1"/>
    <x:col min="7" max="7" width="60" hidden="0" customWidth="1"/>
  </x:cols>
  <x:sheetData>
    <x:row r="1" ht="28" customHeight="1">
      <x:c r="A1" s="64" t="str">
        <x:v>MODEL INPUTS, DISTRIBUTIONS AND PROVENANCE</x:v>
      </x:c>
      <x:c r="B1" s="64" t="str">
        <x:v>MODEL INPUTS, DISTRIBUTIONS AND PROVENANCE</x:v>
      </x:c>
      <x:c r="C1" s="64" t="str">
        <x:v>MODEL INPUTS, DISTRIBUTIONS AND PROVENANCE</x:v>
      </x:c>
      <x:c r="D1" s="64" t="str">
        <x:v>MODEL INPUTS, DISTRIBUTIONS AND PROVENANCE</x:v>
      </x:c>
      <x:c r="E1" s="64" t="str">
        <x:v>MODEL INPUTS, DISTRIBUTIONS AND PROVENANCE</x:v>
      </x:c>
      <x:c r="F1" s="64" t="str">
        <x:v>MODEL INPUTS, DISTRIBUTIONS AND PROVENANCE</x:v>
      </x:c>
      <x:c r="G1" s="64" t="str">
        <x:v>MODEL INPUTS, DISTRIBUTIONS AND PROVENANCE</x:v>
      </x:c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str">
        <x:v>Parameter</x:v>
      </x:c>
      <x:c r="B3" s="66" t="str">
        <x:v>Base</x:v>
      </x:c>
      <x:c r="C3" s="66" t="str">
        <x:v>Low</x:v>
      </x:c>
      <x:c r="D3" s="66" t="str">
        <x:v>High</x:v>
      </x:c>
      <x:c r="E3" s="66" t="str">
        <x:v>Unit</x:v>
      </x:c>
      <x:c r="F3" s="66" t="str">
        <x:v>Status</x:v>
      </x:c>
      <x:c r="G3" s="66" t="str">
        <x:v>Source / rationale</x:v>
      </x:c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70" t="str">
        <x:v>Sites</x:v>
      </x:c>
      <x:c r="B4" s="84" t="n">
        <x:v>3</x:v>
      </x:c>
      <x:c r="C4" s="84" t="n">
        <x:v>3</x:v>
      </x:c>
      <x:c r="D4" s="84" t="n">
        <x:v>3</x:v>
      </x:c>
      <x:c r="E4" s="70" t="str">
        <x:v>sites</x:v>
      </x:c>
      <x:c r="F4" s="70" t="str">
        <x:v>Documented</x:v>
      </x:c>
      <x:c r="G4" s="85" t="str">
        <x:v>ELC 21 Oct 2026</x:v>
      </x:c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70" t="str">
        <x:v>Consultations per site-year</x:v>
      </x:c>
      <x:c r="B5" s="84" t="n">
        <x:v>12.5</x:v>
      </x:c>
      <x:c r="C5" s="84" t="n">
        <x:v>10</x:v>
      </x:c>
      <x:c r="D5" s="84" t="n">
        <x:v>15</x:v>
      </x:c>
      <x:c r="E5" s="70" t="str">
        <x:v>consultations</x:v>
      </x:c>
      <x:c r="F5" s="70" t="str">
        <x:v>User-confirmed estimate</x:v>
      </x:c>
      <x:c r="G5" s="85" t="str">
        <x:v>Nicholas Cairns meeting; 4–5 episodes at Atherton to date</x:v>
      </x:c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70" t="str">
        <x:v>Installed cost per site</x:v>
      </x:c>
      <x:c r="B6" s="84" t="n">
        <x:v>10000</x:v>
      </x:c>
      <x:c r="C6" s="84" t="n">
        <x:v>9000</x:v>
      </x:c>
      <x:c r="D6" s="84" t="n">
        <x:v>12000</x:v>
      </x:c>
      <x:c r="E6" s="70" t="str">
        <x:v>AUD</x:v>
      </x:c>
      <x:c r="F6" s="70" t="str">
        <x:v>Verify invoice</x:v>
      </x:c>
      <x:c r="G6" s="85" t="str">
        <x:v>ELC presentation states $10k; user confirms per installation</x:v>
      </x:c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70" t="str">
        <x:v>Useful life</x:v>
      </x:c>
      <x:c r="B7" s="84" t="n">
        <x:v>5</x:v>
      </x:c>
      <x:c r="C7" s="84" t="n">
        <x:v>3</x:v>
      </x:c>
      <x:c r="D7" s="84" t="n">
        <x:v>7</x:v>
      </x:c>
      <x:c r="E7" s="70" t="str">
        <x:v>years</x:v>
      </x:c>
      <x:c r="F7" s="70" t="str">
        <x:v>Assumption</x:v>
      </x:c>
      <x:c r="G7" s="85" t="str">
        <x:v>Scenario range</x:v>
      </x:c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70" t="str">
        <x:v>Weekly check time</x:v>
      </x:c>
      <x:c r="B8" s="84" t="n">
        <x:v>10</x:v>
      </x:c>
      <x:c r="C8" s="84" t="n">
        <x:v>5</x:v>
      </x:c>
      <x:c r="D8" s="84" t="n">
        <x:v>20</x:v>
      </x:c>
      <x:c r="E8" s="70" t="str">
        <x:v>minutes/site</x:v>
      </x:c>
      <x:c r="F8" s="70" t="str">
        <x:v>Assumption</x:v>
      </x:c>
      <x:c r="G8" s="85" t="str">
        <x:v>ELC says weekly checks; duration unreported</x:v>
      </x:c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70" t="str">
        <x:v>Loaded staff rate</x:v>
      </x:c>
      <x:c r="B9" s="84" t="n">
        <x:v>85</x:v>
      </x:c>
      <x:c r="C9" s="84" t="n">
        <x:v>70</x:v>
      </x:c>
      <x:c r="D9" s="84" t="n">
        <x:v>110</x:v>
      </x:c>
      <x:c r="E9" s="70" t="str">
        <x:v>AUD/hour</x:v>
      </x:c>
      <x:c r="F9" s="70" t="str">
        <x:v>Assumption</x:v>
      </x:c>
      <x:c r="G9" s="85" t="str">
        <x:v>Replace with Queensland award/on-cost schedule</x:v>
      </x:c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70" t="str">
        <x:v>Annual support</x:v>
      </x:c>
      <x:c r="B10" s="84" t="n">
        <x:v>300</x:v>
      </x:c>
      <x:c r="C10" s="84" t="n">
        <x:v>0</x:v>
      </x:c>
      <x:c r="D10" s="84" t="n">
        <x:v>1000</x:v>
      </x:c>
      <x:c r="E10" s="70" t="str">
        <x:v>AUD/site</x:v>
      </x:c>
      <x:c r="F10" s="70" t="str">
        <x:v>Assumption</x:v>
      </x:c>
      <x:c r="G10" s="85" t="str">
        <x:v>Warranty/support not documented</x:v>
      </x:c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70" t="str">
        <x:v>Incremental video workflow</x:v>
      </x:c>
      <x:c r="B11" s="84" t="n">
        <x:v>75</x:v>
      </x:c>
      <x:c r="C11" s="84" t="n">
        <x:v>25</x:v>
      </x:c>
      <x:c r="D11" s="84" t="n">
        <x:v>175</x:v>
      </x:c>
      <x:c r="E11" s="70" t="str">
        <x:v>AUD/consult</x:v>
      </x:c>
      <x:c r="F11" s="70" t="str">
        <x:v>Assumption</x:v>
      </x:c>
      <x:c r="G11" s="85" t="str">
        <x:v>Consultation occurs in both arms; only extra video/setup time</x:v>
      </x:c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70" t="str">
        <x:v>Usual-care transfer probability</x:v>
      </x:c>
      <x:c r="B12" s="86" t="n">
        <x:v>0.65</x:v>
      </x:c>
      <x:c r="C12" s="86" t="n">
        <x:v>0.2</x:v>
      </x:c>
      <x:c r="D12" s="86" t="n">
        <x:v>0.85</x:v>
      </x:c>
      <x:c r="E12" s="70" t="str">
        <x:v>probability</x:v>
      </x:c>
      <x:c r="F12" s="70" t="str">
        <x:v>External-informed prior</x:v>
      </x:c>
      <x:c r="G12" s="85" t="str">
        <x:v>California study 82%; deliberately discounted and widened</x:v>
      </x:c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70" t="str">
        <x:v>Video transfer odds ratio</x:v>
      </x:c>
      <x:c r="B13" s="86" t="n">
        <x:v>0.7</x:v>
      </x:c>
      <x:c r="C13" s="86" t="n">
        <x:v>0.35</x:v>
      </x:c>
      <x:c r="D13" s="86" t="n">
        <x:v>1.4</x:v>
      </x:c>
      <x:c r="E13" s="70" t="str">
        <x:v>odds ratio</x:v>
      </x:c>
      <x:c r="F13" s="70" t="str">
        <x:v>External-informed prior</x:v>
      </x:c>
      <x:c r="G13" s="85" t="str">
        <x:v>Adjusted OR 0.48 in Haynes 2020; base shrunk toward null</x:v>
      </x:c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70" t="str">
        <x:v>Road share</x:v>
      </x:c>
      <x:c r="B14" s="86" t="n">
        <x:v>0.5555555555555556</x:v>
      </x:c>
      <x:c r="C14" s="86" t="n">
        <x:v>0.25</x:v>
      </x:c>
      <x:c r="D14" s="86" t="n">
        <x:v>0.7</x:v>
      </x:c>
      <x:c r="E14" s="70" t="str">
        <x:v>share</x:v>
      </x:c>
      <x:c r="F14" s="70" t="str">
        <x:v>Queensland neonatal prior</x:v>
      </x:c>
      <x:c r="G14" s="85" t="str">
        <x:v>NeoSTRESS: 25 road, 9 rotary, 11 fixed-wing outbound legs</x:v>
      </x:c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70" t="str">
        <x:v>Rotary share</x:v>
      </x:c>
      <x:c r="B15" s="86" t="n">
        <x:v>0.2</x:v>
      </x:c>
      <x:c r="C15" s="86" t="n">
        <x:v>0.1</x:v>
      </x:c>
      <x:c r="D15" s="86" t="n">
        <x:v>0.35</x:v>
      </x:c>
      <x:c r="E15" s="70" t="str">
        <x:v>share</x:v>
      </x:c>
      <x:c r="F15" s="70" t="str">
        <x:v>Queensland neonatal prior</x:v>
      </x:c>
      <x:c r="G15" s="85" t="str">
        <x:v>Mode shares scenario-tested</x:v>
      </x:c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70" t="str">
        <x:v>Fixed-wing share</x:v>
      </x:c>
      <x:c r="B16" s="86" t="n">
        <x:v>0.24444444444444444</x:v>
      </x:c>
      <x:c r="C16" s="86" t="n">
        <x:v>0.15</x:v>
      </x:c>
      <x:c r="D16" s="86" t="n">
        <x:v>0.55</x:v>
      </x:c>
      <x:c r="E16" s="70" t="str">
        <x:v>share</x:v>
      </x:c>
      <x:c r="F16" s="70" t="str">
        <x:v>Queensland neonatal prior</x:v>
      </x:c>
      <x:c r="G16" s="85" t="str">
        <x:v>Current QAS public reports do not provide neonatal mode mix</x:v>
      </x:c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70" t="str">
        <x:v>Road transport cost</x:v>
      </x:c>
      <x:c r="B17" s="84" t="n">
        <x:v>4000</x:v>
      </x:c>
      <x:c r="C17" s="84" t="n">
        <x:v>2000</x:v>
      </x:c>
      <x:c r="D17" s="84" t="n">
        <x:v>8000</x:v>
      </x:c>
      <x:c r="E17" s="70" t="str">
        <x:v>AUD/transfer</x:v>
      </x:c>
      <x:c r="F17" s="70" t="str">
        <x:v>Reasoned assumption</x:v>
      </x:c>
      <x:c r="G17" s="85" t="str">
        <x:v>Marginal asset/crew resource estimate</x:v>
      </x:c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70" t="str">
        <x:v>Rotary transport cost</x:v>
      </x:c>
      <x:c r="B18" s="84" t="n">
        <x:v>25000</x:v>
      </x:c>
      <x:c r="C18" s="84" t="n">
        <x:v>15000</x:v>
      </x:c>
      <x:c r="D18" s="84" t="n">
        <x:v>45000</x:v>
      </x:c>
      <x:c r="E18" s="70" t="str">
        <x:v>AUD/transfer</x:v>
      </x:c>
      <x:c r="F18" s="70" t="str">
        <x:v>Reasoned assumption</x:v>
      </x:c>
      <x:c r="G18" s="85" t="str">
        <x:v>User-pays aeromedical asset; contract price not public</x:v>
      </x:c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70" t="str">
        <x:v>Fixed-wing transport cost</x:v>
      </x:c>
      <x:c r="B19" s="84" t="n">
        <x:v>18000</x:v>
      </x:c>
      <x:c r="C19" s="84" t="n">
        <x:v>10000</x:v>
      </x:c>
      <x:c r="D19" s="84" t="n">
        <x:v>30000</x:v>
      </x:c>
      <x:c r="E19" s="70" t="str">
        <x:v>AUD/transfer</x:v>
      </x:c>
      <x:c r="F19" s="70" t="str">
        <x:v>Reasoned assumption</x:v>
      </x:c>
      <x:c r="G19" s="85" t="str">
        <x:v>User-pays aeromedical asset; contract price not public</x:v>
      </x:c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70" t="str">
        <x:v>Net downstream hospital difference</x:v>
      </x:c>
      <x:c r="B20" s="84" t="n">
        <x:v>4000</x:v>
      </x:c>
      <x:c r="C20" s="84" t="n">
        <x:v>0</x:v>
      </x:c>
      <x:c r="D20" s="84" t="n">
        <x:v>12000</x:v>
      </x:c>
      <x:c r="E20" s="70" t="str">
        <x:v>AUD/transfer</x:v>
      </x:c>
      <x:c r="F20" s="70" t="str">
        <x:v>IHACPA-informed assumption</x:v>
      </x:c>
      <x:c r="G20" s="85" t="str">
        <x:v>Use routine DRG/NWAU extract when available</x:v>
      </x:c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70" t="str">
        <x:v>Family burden per transfer</x:v>
      </x:c>
      <x:c r="B21" s="84" t="n">
        <x:v>1500</x:v>
      </x:c>
      <x:c r="C21" s="84" t="n">
        <x:v>500</x:v>
      </x:c>
      <x:c r="D21" s="84" t="n">
        <x:v>4000</x:v>
      </x:c>
      <x:c r="E21" s="70" t="str">
        <x:v>AUD/transfer</x:v>
      </x:c>
      <x:c r="F21" s="70" t="str">
        <x:v>Societal assumption</x:v>
      </x:c>
      <x:c r="G21" s="85" t="str">
        <x:v>Travel, accommodation, time and separation</x:v>
      </x:c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70" t="str">
        <x:v>NEP 2026–27</x:v>
      </x:c>
      <x:c r="B22" s="84" t="n">
        <x:v>7418</x:v>
      </x:c>
      <x:c r="C22" s="84" t="n">
        <x:v>7418</x:v>
      </x:c>
      <x:c r="D22" s="84" t="n">
        <x:v>7418</x:v>
      </x:c>
      <x:c r="E22" s="70" t="str">
        <x:v>AUD/NWAU</x:v>
      </x:c>
      <x:c r="F22" s="70" t="str">
        <x:v>Official</x:v>
      </x:c>
      <x:c r="G22" s="85" t="str">
        <x:v>https://www.ihacpa.gov.au/resources/national-efficient-price-determination-2026-27</x:v>
      </x:c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70" t="str">
        <x:v>WTP per QALY</x:v>
      </x:c>
      <x:c r="B23" s="84" t="n">
        <x:v>50000</x:v>
      </x:c>
      <x:c r="C23" s="84" t="n">
        <x:v>0</x:v>
      </x:c>
      <x:c r="D23" s="84" t="n">
        <x:v>100000</x:v>
      </x:c>
      <x:c r="E23" s="70" t="str">
        <x:v>AUD/QALY</x:v>
      </x:c>
      <x:c r="F23" s="70" t="str">
        <x:v>Exploratory only</x:v>
      </x:c>
      <x:c r="G23" s="85" t="str">
        <x:v>Not used in primary cost analysis</x:v>
      </x:c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G1"/>
  </x:mergeCells>
  <x:conditionalFormatting sqref="B4:D23">
    <x:cfRule type="expression" dxfId="0" priority="1">
      <x:formula>OR($F4="Verify invoice",$F4="Assumption",$F4="Reasoned assumption",$F4="IHACPA-informed assumption")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2" hidden="0" customWidth="1"/>
    <x:col min="2" max="2" width="12" hidden="0" customWidth="1"/>
    <x:col min="3" max="3" width="14" hidden="0" customWidth="1"/>
    <x:col min="4" max="4" width="14" hidden="0" customWidth="1"/>
    <x:col min="5" max="5" width="15" hidden="0" customWidth="1"/>
    <x:col min="6" max="6" width="16" hidden="0" customWidth="1"/>
    <x:col min="7" max="7" width="16" hidden="0" customWidth="1"/>
    <x:col min="8" max="8" width="16" hidden="0" customWidth="1"/>
    <x:col min="9" max="9" width="42" hidden="0" customWidth="1"/>
  </x:cols>
  <x:sheetData>
    <x:row r="1" ht="28" customHeight="1">
      <x:c r="A1" s="64" t="str">
        <x:v>DETERMINISTIC SCENARIOS | ANNUAL RESULTS</x:v>
      </x:c>
      <x:c r="B1" s="64" t="str">
        <x:v>DETERMINISTIC SCENARIOS | ANNUAL RESULTS</x:v>
      </x:c>
      <x:c r="C1" s="64" t="str">
        <x:v>DETERMINISTIC SCENARIOS | ANNUAL RESULTS</x:v>
      </x:c>
      <x:c r="D1" s="64" t="str">
        <x:v>DETERMINISTIC SCENARIOS | ANNUAL RESULTS</x:v>
      </x:c>
      <x:c r="E1" s="64" t="str">
        <x:v>DETERMINISTIC SCENARIOS | ANNUAL RESULTS</x:v>
      </x:c>
      <x:c r="F1" s="64" t="str">
        <x:v>DETERMINISTIC SCENARIOS | ANNUAL RESULTS</x:v>
      </x:c>
      <x:c r="G1" s="64" t="str">
        <x:v>DETERMINISTIC SCENARIOS | ANNUAL RESULTS</x:v>
      </x:c>
      <x:c r="H1" s="64" t="str">
        <x:v>DETERMINISTIC SCENARIOS | ANNUAL RESULTS</x:v>
      </x:c>
      <x:c r="I1" s="64" t="str">
        <x:v>DETERMINISTIC SCENARIOS | ANNUAL RESULTS</x:v>
      </x:c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str">
        <x:v>Scenario</x:v>
      </x:c>
      <x:c r="B3" s="66" t="str">
        <x:v>Consult/site</x:v>
      </x:c>
      <x:c r="C3" s="66" t="str">
        <x:v>Transfer reduction</x:v>
      </x:c>
      <x:c r="D3" s="66" t="str">
        <x:v>Avoided transfers</x:v>
      </x:c>
      <x:c r="E3" s="66" t="str">
        <x:v>Programme cost</x:v>
      </x:c>
      <x:c r="F3" s="66" t="str">
        <x:v>Weighted transfer cost</x:v>
      </x:c>
      <x:c r="G3" s="66" t="str">
        <x:v>Health-system net</x:v>
      </x:c>
      <x:c r="H3" s="66" t="str">
        <x:v>Societal net</x:v>
      </x:c>
      <x:c r="I3" s="66" t="str">
        <x:v>Interpretation</x:v>
      </x:c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70" t="str">
        <x:v>No transfer effect</x:v>
      </x:c>
      <x:c r="B4" s="96" t="n">
        <x:v>12.5</x:v>
      </x:c>
      <x:c r="C4" s="97" t="n">
        <x:v>0</x:v>
      </x:c>
      <x:c r="D4" s="96" t="n">
        <x:v>0</x:v>
      </x:c>
      <x:c r="E4" s="98" t="n">
        <x:v>11922.5</x:v>
      </x:c>
      <x:c r="F4" s="98" t="n">
        <x:v>15622.222222222223</x:v>
      </x:c>
      <x:c r="G4" s="98" t="n">
        <x:v>-11922.5</x:v>
      </x:c>
      <x:c r="H4" s="98" t="n">
        <x:v>-11922.5</x:v>
      </x:c>
      <x:c r="I4" s="70" t="str">
        <x:v>Conditional estimate; not local observed effect</x:v>
      </x:c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70" t="str">
        <x:v>Conservative</x:v>
      </x:c>
      <x:c r="B5" s="96" t="n">
        <x:v>10</x:v>
      </x:c>
      <x:c r="C5" s="97" t="n">
        <x:v>0.03</x:v>
      </x:c>
      <x:c r="D5" s="96" t="n">
        <x:v>0.8999999999999999</x:v>
      </x:c>
      <x:c r="E5" s="98" t="n">
        <x:v>11360</x:v>
      </x:c>
      <x:c r="F5" s="98" t="n">
        <x:v>15622.222222222223</x:v>
      </x:c>
      <x:c r="G5" s="98" t="n">
        <x:v>2699.999999999998</x:v>
      </x:c>
      <x:c r="H5" s="98" t="n">
        <x:v>4049.999999999998</x:v>
      </x:c>
      <x:c r="I5" s="70" t="str">
        <x:v>Conditional estimate; not local observed effect</x:v>
      </x:c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70" t="str">
        <x:v>Break-even vicinity</x:v>
      </x:c>
      <x:c r="B6" s="96" t="n">
        <x:v>12.5</x:v>
      </x:c>
      <x:c r="C6" s="97" t="n">
        <x:v>0.02</x:v>
      </x:c>
      <x:c r="D6" s="96" t="n">
        <x:v>0.75</x:v>
      </x:c>
      <x:c r="E6" s="98" t="n">
        <x:v>11922.5</x:v>
      </x:c>
      <x:c r="F6" s="98" t="n">
        <x:v>15622.222222222223</x:v>
      </x:c>
      <x:c r="G6" s="98" t="n">
        <x:v>-205.83333333333212</x:v>
      </x:c>
      <x:c r="H6" s="98" t="n">
        <x:v>919.1666666666679</x:v>
      </x:c>
      <x:c r="I6" s="70" t="str">
        <x:v>Conditional estimate; not local observed effect</x:v>
      </x:c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70" t="str">
        <x:v>Moderate</x:v>
      </x:c>
      <x:c r="B7" s="96" t="n">
        <x:v>12.5</x:v>
      </x:c>
      <x:c r="C7" s="97" t="n">
        <x:v>0.08</x:v>
      </x:c>
      <x:c r="D7" s="96" t="n">
        <x:v>3</x:v>
      </x:c>
      <x:c r="E7" s="98" t="n">
        <x:v>11922.5</x:v>
      </x:c>
      <x:c r="F7" s="98" t="n">
        <x:v>15622.222222222223</x:v>
      </x:c>
      <x:c r="G7" s="98" t="n">
        <x:v>34944.16666666667</x:v>
      </x:c>
      <x:c r="H7" s="98" t="n">
        <x:v>39444.16666666667</x:v>
      </x:c>
      <x:c r="I7" s="70" t="str">
        <x:v>Conditional estimate; not local observed effect</x:v>
      </x:c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70" t="str">
        <x:v>Observed California raw difference</x:v>
      </x:c>
      <x:c r="B8" s="96" t="n">
        <x:v>12.5</x:v>
      </x:c>
      <x:c r="C8" s="97" t="n">
        <x:v>0.18</x:v>
      </x:c>
      <x:c r="D8" s="96" t="n">
        <x:v>6.75</x:v>
      </x:c>
      <x:c r="E8" s="98" t="n">
        <x:v>11922.5</x:v>
      </x:c>
      <x:c r="F8" s="98" t="n">
        <x:v>15622.222222222223</x:v>
      </x:c>
      <x:c r="G8" s="98" t="n">
        <x:v>93527.5</x:v>
      </x:c>
      <x:c r="H8" s="98" t="n">
        <x:v>103652.5</x:v>
      </x:c>
      <x:c r="I8" s="70" t="str">
        <x:v>Conditional estimate; not local observed effect</x:v>
      </x:c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70" t="str">
        <x:v>Historical Queensland stress test</x:v>
      </x:c>
      <x:c r="B9" s="96" t="n">
        <x:v>12.5</x:v>
      </x:c>
      <x:c r="C9" s="97" t="n">
        <x:v>0.26</x:v>
      </x:c>
      <x:c r="D9" s="96" t="n">
        <x:v>9.75</x:v>
      </x:c>
      <x:c r="E9" s="98" t="n">
        <x:v>11922.5</x:v>
      </x:c>
      <x:c r="F9" s="98" t="n">
        <x:v>15622.222222222223</x:v>
      </x:c>
      <x:c r="G9" s="98" t="n">
        <x:v>140394.16666666666</x:v>
      </x:c>
      <x:c r="H9" s="98" t="n">
        <x:v>155019.16666666666</x:v>
      </x:c>
      <x:c r="I9" s="70" t="str">
        <x:v>Conditional estimate; not local observed effect</x:v>
      </x:c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70" t="str">
        <x:v>High volume/moderate effect</x:v>
      </x:c>
      <x:c r="B10" s="96" t="n">
        <x:v>15</x:v>
      </x:c>
      <x:c r="C10" s="97" t="n">
        <x:v>0.08</x:v>
      </x:c>
      <x:c r="D10" s="96" t="n">
        <x:v>3.6</x:v>
      </x:c>
      <x:c r="E10" s="98" t="n">
        <x:v>12485</x:v>
      </x:c>
      <x:c r="F10" s="98" t="n">
        <x:v>15622.222222222223</x:v>
      </x:c>
      <x:c r="G10" s="98" t="n">
        <x:v>43755</x:v>
      </x:c>
      <x:c r="H10" s="98" t="n">
        <x:v>49155</x:v>
      </x:c>
      <x:c r="I10" s="70" t="str">
        <x:v>Conditional estimate; not local observed effect</x:v>
      </x:c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I1"/>
  </x:mergeCells>
  <x:conditionalFormatting sqref="G4:G10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  <x:drawing xmlns:r="http://schemas.openxmlformats.org/officeDocument/2006/relationships" r:id="R8698ab4e3be34ae5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4" hidden="0" customWidth="1"/>
    <x:col min="4" max="4" width="18" hidden="0" customWidth="1"/>
    <x:col min="5" max="5" width="16" hidden="0" customWidth="1"/>
    <x:col min="6" max="6" width="10" hidden="0" customWidth="1"/>
  </x:cols>
  <x:sheetData>
    <x:row r="1" ht="28" customHeight="1">
      <x:c r="A1" s="64" t="str">
        <x:v>PROBABILISTIC SENSITIVITY ANALYSIS | 20,000 ITERATIONS</x:v>
      </x:c>
      <x:c r="B1" s="64" t="str">
        <x:v>PROBABILISTIC SENSITIVITY ANALYSIS | 20,000 ITERATIONS</x:v>
      </x:c>
      <x:c r="C1" s="64" t="str">
        <x:v>PROBABILISTIC SENSITIVITY ANALYSIS | 20,000 ITERATIONS</x:v>
      </x:c>
      <x:c r="D1" s="64" t="str">
        <x:v>PROBABILISTIC SENSITIVITY ANALYSIS | 20,000 ITERATIONS</x:v>
      </x:c>
      <x:c r="E1" s="64" t="str">
        <x:v>PROBABILISTIC SENSITIVITY ANALYSIS | 20,000 ITERATIONS</x:v>
      </x:c>
      <x:c r="F1" s="64" t="str">
        <x:v>PROBABILISTIC SENSITIVITY ANALYSIS | 20,000 ITERATIONS</x:v>
      </x:c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str">
        <x:v>Measure</x:v>
      </x:c>
      <x:c r="B3" s="66" t="str">
        <x:v>Result</x:v>
      </x:c>
      <x:c r="C3" s="65"/>
      <x:c r="D3" s="66" t="str">
        <x:v>Net saving midpoint</x:v>
      </x:c>
      <x:c r="E3" s="66" t="str">
        <x:v>Simulation count</x:v>
      </x:c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5" t="str">
        <x:v>Probability cost-saving</x:v>
      </x:c>
      <x:c r="B4" s="69" t="n">
        <x:v>0.75425</x:v>
      </x:c>
      <x:c r="C4" s="65"/>
      <x:c r="D4" s="68" t="n">
        <x:v>-81609.74287111586</x:v>
      </x:c>
      <x:c r="E4" s="65" t="n">
        <x:v>131</x:v>
      </x:c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 t="str">
        <x:v>Mean health-system net saving</x:v>
      </x:c>
      <x:c r="B5" s="68" t="n">
        <x:v>38382.90671778229</x:v>
      </x:c>
      <x:c r="C5" s="65"/>
      <x:c r="D5" s="68" t="n">
        <x:v>-66385.2870846643</x:v>
      </x:c>
      <x:c r="E5" s="65" t="n">
        <x:v>249</x:v>
      </x:c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5" t="str">
        <x:v>Median health-system net saving</x:v>
      </x:c>
      <x:c r="B6" s="68" t="n">
        <x:v>32882.93246454526</x:v>
      </x:c>
      <x:c r="C6" s="65"/>
      <x:c r="D6" s="68" t="n">
        <x:v>-51160.83129821274</x:v>
      </x:c>
      <x:c r="E6" s="65" t="n">
        <x:v>486</x:v>
      </x:c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5" t="str">
        <x:v>95% lower bound</x:v>
      </x:c>
      <x:c r="B7" s="68" t="n">
        <x:v>-57738.66188488013</x:v>
      </x:c>
      <x:c r="C7" s="65"/>
      <x:c r="D7" s="68" t="n">
        <x:v>-35936.37551176119</x:v>
      </x:c>
      <x:c r="E7" s="65" t="n">
        <x:v>848</x:v>
      </x:c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5" t="str">
        <x:v>95% upper bound</x:v>
      </x:c>
      <x:c r="B8" s="68" t="n">
        <x:v>162706.10038019516</x:v>
      </x:c>
      <x:c r="C8" s="65"/>
      <x:c r="D8" s="68" t="n">
        <x:v>-20711.919725309624</x:v>
      </x:c>
      <x:c r="E8" s="65" t="n">
        <x:v>1415</x:v>
      </x:c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5" t="str">
        <x:v>Mean societal net saving</x:v>
      </x:c>
      <x:c r="B9" s="68" t="n">
        <x:v>44195.03472961683</x:v>
      </x:c>
      <x:c r="C9" s="65"/>
      <x:c r="D9" s="68" t="n">
        <x:v>-5487.463938858069</x:v>
      </x:c>
      <x:c r="E9" s="65" t="n">
        <x:v>1995</x:v>
      </x:c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 t="str">
        <x:v>Mean avoided transfers/year</x:v>
      </x:c>
      <x:c r="B10" s="67" t="n">
        <x:v>2.9173638984226757</x:v>
      </x:c>
      <x:c r="C10" s="65"/>
      <x:c r="D10" s="68" t="n">
        <x:v>9736.99184759349</x:v>
      </x:c>
      <x:c r="E10" s="65" t="n">
        <x:v>2349</x:v>
      </x:c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 t="str">
        <x:v>Mean annual programme cost</x:v>
      </x:c>
      <x:c r="B11" s="68" t="n">
        <x:v>13786.435750421855</x:v>
      </x:c>
      <x:c r="C11" s="65"/>
      <x:c r="D11" s="68" t="n">
        <x:v>24961.44763404505</x:v>
      </x:c>
      <x:c r="E11" s="65" t="n">
        <x:v>2394</x:v>
      </x:c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 t="str">
        <x:v>Mean cost per transfer avoided</x:v>
      </x:c>
      <x:c r="B12" s="68" t="n">
        <x:v>17946.720181210323</x:v>
      </x:c>
      <x:c r="C12" s="65"/>
      <x:c r="D12" s="68" t="n">
        <x:v>40185.90342049661</x:v>
      </x:c>
      <x:c r="E12" s="65" t="n">
        <x:v>2132</x:v>
      </x:c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 t="str">
        <x:v>Mean absolute transfer effect</x:v>
      </x:c>
      <x:c r="B13" s="69" t="n">
        <x:v>0.07775101447185198</x:v>
      </x:c>
      <x:c r="C13" s="65"/>
      <x:c r="D13" s="68" t="n">
        <x:v>55410.35920694817</x:v>
      </x:c>
      <x:c r="E13" s="65" t="n">
        <x:v>2016</x:v>
      </x:c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 t="str">
        <x:v>Transfer-effect 95% lower</x:v>
      </x:c>
      <x:c r="B14" s="69" t="n">
        <x:v>-0.06504548808637328</x:v>
      </x:c>
      <x:c r="C14" s="65"/>
      <x:c r="D14" s="68" t="n">
        <x:v>70634.81499339972</x:v>
      </x:c>
      <x:c r="E14" s="65" t="n">
        <x:v>1584</x:v>
      </x:c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 t="str">
        <x:v>Transfer-effect 95% upper</x:v>
      </x:c>
      <x:c r="B15" s="69" t="n">
        <x:v>0.2389991106233192</x:v>
      </x:c>
      <x:c r="C15" s="65"/>
      <x:c r="D15" s="68" t="n">
        <x:v>85859.27077985127</x:v>
      </x:c>
      <x:c r="E15" s="65" t="n">
        <x:v>1255</x:v>
      </x:c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8" t="n">
        <x:v>101083.72656630282</x:v>
      </x:c>
      <x:c r="E16" s="65" t="n">
        <x:v>896</x:v>
      </x:c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8" t="n">
        <x:v>116308.18235275439</x:v>
      </x:c>
      <x:c r="E17" s="65" t="n">
        <x:v>689</x:v>
      </x:c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70" t="str">
        <x:v>PSA distributions: activity triangular 10/12.5/15 per site; usual transfer beta mean 65%; video OR lognormal median 0.70; transport shares Dirichlet 25/9/11; costs lognormal/triangular. The transfer effect can cross zero.</x:v>
      </x:c>
      <x:c r="B18" s="70"/>
      <x:c r="C18" s="70"/>
      <x:c r="D18" s="98" t="n">
        <x:v>131532.63813920596</x:v>
      </x:c>
      <x:c r="E18" s="70" t="n">
        <x:v>496</x:v>
      </x:c>
      <x:c r="F18" s="70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8" t="n">
        <x:v>146757.0939256575</x:v>
      </x:c>
      <x:c r="E19" s="65" t="n">
        <x:v>339</x:v>
      </x:c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8" t="n">
        <x:v>161981.54971210906</x:v>
      </x:c>
      <x:c r="E20" s="65" t="n">
        <x:v>222</x:v>
      </x:c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8" t="n">
        <x:v>177206.0054985606</x:v>
      </x:c>
      <x:c r="E21" s="65" t="n">
        <x:v>138</x:v>
      </x:c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8" t="n">
        <x:v>192430.46128501216</x:v>
      </x:c>
      <x:c r="E22" s="65" t="n">
        <x:v>105</x:v>
      </x:c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8" t="n">
        <x:v>207654.91707146371</x:v>
      </x:c>
      <x:c r="E23" s="65" t="n">
        <x:v>61</x:v>
      </x:c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F1"/>
    <x:mergeCell ref="A18:F18"/>
  </x:mergeCells>
  <x:pageMargins left="0.7" right="0.7" top="0.75" bottom="0.75" header="0.3" footer="0.3"/>
  <x:drawing xmlns:r="http://schemas.openxmlformats.org/officeDocument/2006/relationships" r:id="Rc95e2f2e1aa44c31"/>
</x:worksheet>
</file>

<file path=xl/worksheets/sheet5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40" hidden="0" customWidth="1"/>
    <x:col min="7" max="7" width="48" hidden="0" customWidth="1"/>
  </x:cols>
  <x:sheetData>
    <x:row r="1" ht="28" customHeight="1">
      <x:c r="A1" s="64" t="str">
        <x:v>RETRIEVAL MODE AND COST ASSUMPTIONS</x:v>
      </x:c>
      <x:c r="B1" s="64" t="str">
        <x:v>RETRIEVAL MODE AND COST ASSUMPTIONS</x:v>
      </x:c>
      <x:c r="C1" s="64" t="str">
        <x:v>RETRIEVAL MODE AND COST ASSUMPTIONS</x:v>
      </x:c>
      <x:c r="D1" s="64" t="str">
        <x:v>RETRIEVAL MODE AND COST ASSUMPTIONS</x:v>
      </x:c>
      <x:c r="E1" s="64" t="str">
        <x:v>RETRIEVAL MODE AND COST ASSUMPTIONS</x:v>
      </x:c>
      <x:c r="F1" s="64" t="str">
        <x:v>RETRIEVAL MODE AND COST ASSUMPTIONS</x:v>
      </x:c>
      <x:c r="G1" s="64" t="str">
        <x:v>RETRIEVAL MODE AND COST ASSUMPTIONS</x:v>
      </x:c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str">
        <x:v>Mode</x:v>
      </x:c>
      <x:c r="B3" s="66" t="str">
        <x:v>Base share</x:v>
      </x:c>
      <x:c r="C3" s="66" t="str">
        <x:v>Low-air scenario</x:v>
      </x:c>
      <x:c r="D3" s="66" t="str">
        <x:v>High-air scenario</x:v>
      </x:c>
      <x:c r="E3" s="66" t="str">
        <x:v>Base marginal cost</x:v>
      </x:c>
      <x:c r="F3" s="66" t="str">
        <x:v>Evidence</x:v>
      </x:c>
      <x:c r="G3" s="66" t="str">
        <x:v>Limit</x:v>
      </x:c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5" t="str">
        <x:v>Road</x:v>
      </x:c>
      <x:c r="B4" s="69" t="n">
        <x:v>0.5555555555555556</x:v>
      </x:c>
      <x:c r="C4" s="69" t="n">
        <x:v>0.6</x:v>
      </x:c>
      <x:c r="D4" s="69" t="n">
        <x:v>0.25</x:v>
      </x:c>
      <x:c r="E4" s="68" t="n">
        <x:v>4000</x:v>
      </x:c>
      <x:c r="F4" s="104" t="str">
        <x:v>NeoSTRESS 25/45 outbound legs</x:v>
      </x:c>
      <x:c r="G4" s="65" t="str">
        <x:v>Not a current FNQ consultation cohort</x:v>
      </x:c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 t="str">
        <x:v>Rotary</x:v>
      </x:c>
      <x:c r="B5" s="69" t="n">
        <x:v>0.2</x:v>
      </x:c>
      <x:c r="C5" s="69" t="n">
        <x:v>0.15</x:v>
      </x:c>
      <x:c r="D5" s="69" t="n">
        <x:v>0.25</x:v>
      </x:c>
      <x:c r="E5" s="68" t="n">
        <x:v>25000</x:v>
      </x:c>
      <x:c r="F5" s="104" t="str">
        <x:v>NeoSTRESS 9/45 outbound legs</x:v>
      </x:c>
      <x:c r="G5" s="65" t="str">
        <x:v>Current contract cost unavailable publicly</x:v>
      </x:c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5" t="str">
        <x:v>Fixed wing</x:v>
      </x:c>
      <x:c r="B6" s="69" t="n">
        <x:v>0.24444444444444444</x:v>
      </x:c>
      <x:c r="C6" s="69" t="n">
        <x:v>0.25</x:v>
      </x:c>
      <x:c r="D6" s="69" t="n">
        <x:v>0.5</x:v>
      </x:c>
      <x:c r="E6" s="68" t="n">
        <x:v>18000</x:v>
      </x:c>
      <x:c r="F6" s="104" t="str">
        <x:v>NeoSTRESS 11/45 outbound legs</x:v>
      </x:c>
      <x:c r="G6" s="65" t="str">
        <x:v>Current contract cost unavailable publicly</x:v>
      </x:c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5" t="str">
        <x:v>Total</x:v>
      </x:c>
      <x:c r="B7" s="69" t="n">
        <x:v>1</x:v>
      </x:c>
      <x:c r="C7" s="69" t="n">
        <x:v>1</x:v>
      </x:c>
      <x:c r="D7" s="69" t="n">
        <x:v>1</x:v>
      </x:c>
      <x:c r="E7" s="65"/>
      <x:c r="F7" s="104" t="str">
        <x:v>https://pubmed.ncbi.nlm.nih.gov/32949204/</x:v>
      </x:c>
      <x:c r="G7" s="65" t="str">
        <x:v>QAS 2025-26 performance gives total RSQ activity, not mode split</x:v>
      </x:c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5"/>
      <x:c r="B8" s="65"/>
      <x:c r="C8" s="65"/>
      <x:c r="D8" s="65"/>
      <x:c r="E8" s="65"/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5"/>
      <x:c r="B9" s="65"/>
      <x:c r="C9" s="65"/>
      <x:c r="D9" s="65"/>
      <x:c r="E9" s="65"/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6" t="str">
        <x:v>Derived measure</x:v>
      </x:c>
      <x:c r="B10" s="66" t="str">
        <x:v>Value</x:v>
      </x:c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 t="str">
        <x:v>Base weighted transport + downstream cost</x:v>
      </x:c>
      <x:c r="B11" s="68" t="n">
        <x:v>15622.222222222223</x:v>
      </x:c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 t="str">
        <x:v>QAS RSQ episodes/day (Apr-Jun 2026)</x:v>
      </x:c>
      <x:c r="B12" s="65" t="n">
        <x:v>92</x:v>
      </x:c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 t="str">
        <x:v>QAS hospital transfers/day</x:v>
      </x:c>
      <x:c r="B13" s="65" t="n">
        <x:v>72</x:v>
      </x:c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70" t="str">
        <x:v>Current public QAS reporting records 8,398 referrals and more than 6,573 transported episodes in Apr–Jun 2026, but does not provide a neonatal road/rotary/fixed-wing breakdown. The model therefore uses a Queensland neonatal retrieval study as a prior and explicitly tests alternative mixes.</x:v>
      </x:c>
      <x:c r="B15" s="70"/>
      <x:c r="C15" s="70"/>
      <x:c r="D15" s="70"/>
      <x:c r="E15" s="70"/>
      <x:c r="F15" s="70"/>
      <x:c r="G15" s="70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70"/>
      <x:c r="B16" s="70"/>
      <x:c r="C16" s="70"/>
      <x:c r="D16" s="70"/>
      <x:c r="E16" s="70"/>
      <x:c r="F16" s="70"/>
      <x:c r="G16" s="70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70"/>
      <x:c r="B17" s="70"/>
      <x:c r="C17" s="70"/>
      <x:c r="D17" s="70"/>
      <x:c r="E17" s="70"/>
      <x:c r="F17" s="70"/>
      <x:c r="G17" s="70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G1"/>
    <x:mergeCell ref="A15:G1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4" hidden="0" customWidth="1"/>
    <x:col min="2" max="2" width="48" hidden="0" customWidth="1"/>
    <x:col min="3" max="3" width="14" hidden="0" customWidth="1"/>
    <x:col min="4" max="4" width="18" hidden="0" customWidth="1"/>
    <x:col min="5" max="5" width="26" hidden="0" customWidth="1"/>
    <x:col min="6" max="6" width="42" hidden="0" customWidth="1"/>
  </x:cols>
  <x:sheetData>
    <x:row r="1" ht="28" customHeight="1">
      <x:c r="A1" s="64" t="str">
        <x:v>IHACPA NEP26 | SELECTED NEONATAL BENCHMARKS</x:v>
      </x:c>
      <x:c r="B1" s="64" t="str">
        <x:v>IHACPA NEP26 | SELECTED NEONATAL BENCHMARKS</x:v>
      </x:c>
      <x:c r="C1" s="64" t="str">
        <x:v>IHACPA NEP26 | SELECTED NEONATAL BENCHMARKS</x:v>
      </x:c>
      <x:c r="D1" s="64" t="str">
        <x:v>IHACPA NEP26 | SELECTED NEONATAL BENCHMARKS</x:v>
      </x:c>
      <x:c r="E1" s="64" t="str">
        <x:v>IHACPA NEP26 | SELECTED NEONATAL BENCHMARKS</x:v>
      </x:c>
      <x:c r="F1" s="64" t="str">
        <x:v>IHACPA NEP26 | SELECTED NEONATAL BENCHMARKS</x:v>
      </x:c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str">
        <x:v>AR-DRG V12.0</x:v>
      </x:c>
      <x:c r="B3" s="66" t="str">
        <x:v>Descriptor (abbreviated)</x:v>
      </x:c>
      <x:c r="C3" s="66" t="str">
        <x:v>Inlier NWAU</x:v>
      </x:c>
      <x:c r="D3" s="66" t="str">
        <x:v>NEP benchmark</x:v>
      </x:c>
      <x:c r="E3" s="66" t="str">
        <x:v>Use</x:v>
      </x:c>
      <x:c r="F3" s="66" t="str">
        <x:v>Caveat</x:v>
      </x:c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5" t="str">
        <x:v>P60B</x:v>
      </x:c>
      <x:c r="B4" s="65" t="str">
        <x:v>Neonate transferred/died &lt;5 days, minor complexity</x:v>
      </x:c>
      <x:c r="C4" s="110" t="n">
        <x:v>0.8224</x:v>
      </x:c>
      <x:c r="D4" s="111" t="n">
        <x:f>C4*Inputs!B22</x:f>
        <x:v>6100.5632000000005</x:v>
      </x:c>
      <x:c r="E4" s="65" t="str">
        <x:v>Transferred episode comparator</x:v>
      </x:c>
      <x:c r="F4" s="65" t="str">
        <x:v>Not a marginal retrieval cost</x:v>
      </x:c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5" t="str">
        <x:v>P68D</x:v>
      </x:c>
      <x:c r="B5" s="65" t="str">
        <x:v>Term neonate &gt;=2500g, minor complexity</x:v>
      </x:c>
      <x:c r="C5" s="110" t="n">
        <x:v>0.6454</x:v>
      </x:c>
      <x:c r="D5" s="111" t="n">
        <x:f>C5*Inputs!B22</x:f>
        <x:v>4787.5772</x:v>
      </x:c>
      <x:c r="E5" s="65" t="str">
        <x:v>Local-care comparator</x:v>
      </x:c>
      <x:c r="F5" s="65" t="str">
        <x:v>Actual coding/LOS required</x:v>
      </x:c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5" t="str">
        <x:v>P68B</x:v>
      </x:c>
      <x:c r="B6" s="65" t="str">
        <x:v>Term neonate &gt;=2500g, major complexity</x:v>
      </x:c>
      <x:c r="C6" s="110" t="n">
        <x:v>1.4581</x:v>
      </x:c>
      <x:c r="D6" s="111" t="n">
        <x:f>C6*Inputs!B22</x:f>
        <x:v>10816.1858</x:v>
      </x:c>
      <x:c r="E6" s="65" t="str">
        <x:v>Case-mix scenario</x:v>
      </x:c>
      <x:c r="F6" s="65" t="str">
        <x:v>Do not infer clinical severity from consultation</x:v>
      </x:c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5" t="str">
        <x:v>P68A</x:v>
      </x:c>
      <x:c r="B7" s="65" t="str">
        <x:v>Term neonate &gt;=2500g, extreme complexity</x:v>
      </x:c>
      <x:c r="C7" s="110" t="n">
        <x:v>3.1083</x:v>
      </x:c>
      <x:c r="D7" s="111" t="n">
        <x:f>C7*Inputs!B22</x:f>
        <x:v>23057.3694</x:v>
      </x:c>
      <x:c r="E7" s="65" t="str">
        <x:v>High-cost scenario</x:v>
      </x:c>
      <x:c r="F7" s="65" t="str">
        <x:v>Inlier only</x:v>
      </x:c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5" t="str">
        <x:v>P06B</x:v>
      </x:c>
      <x:c r="B8" s="65" t="str">
        <x:v>&gt;=2500g, major intervention or ventilation &gt;=96h, minor complexity</x:v>
      </x:c>
      <x:c r="C8" s="110" t="n">
        <x:v>7.1826</x:v>
      </x:c>
      <x:c r="D8" s="111" t="n">
        <x:f>C8*Inputs!B22</x:f>
        <x:v>53280.5268</x:v>
      </x:c>
      <x:c r="E8" s="65" t="str">
        <x:v>Severe pathway stress test</x:v>
      </x:c>
      <x:c r="F8" s="65" t="str">
        <x:v>Requires actual code and adjustments</x:v>
      </x:c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5"/>
      <x:c r="B9" s="65"/>
      <x:c r="C9" s="65"/>
      <x:c r="D9" s="65"/>
      <x:c r="E9" s="65"/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70" t="str">
        <x:v>Use routine patient-level DRG/NWAU where available. The workbook treats NEP as a standardised resource benchmark. It does not equate activity funding with cash saved, and it avoids double-counting sending and receiving hospital episodes. Atherton, Mareeba and Innisfail funding arrangements should be confirmed because rural facilities may include block-funded components under the NEC.</x:v>
      </x:c>
      <x:c r="B11" s="70"/>
      <x:c r="C11" s="70"/>
      <x:c r="D11" s="70"/>
      <x:c r="E11" s="70"/>
      <x:c r="F11" s="70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70"/>
      <x:c r="B12" s="70"/>
      <x:c r="C12" s="70"/>
      <x:c r="D12" s="70"/>
      <x:c r="E12" s="70"/>
      <x:c r="F12" s="70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70"/>
      <x:c r="B13" s="70"/>
      <x:c r="C13" s="70"/>
      <x:c r="D13" s="70"/>
      <x:c r="E13" s="70"/>
      <x:c r="F13" s="70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F1"/>
    <x:mergeCell ref="A11:F1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8" hidden="0" customWidth="1"/>
    <x:col min="3" max="3" width="13" hidden="0" customWidth="1"/>
    <x:col min="4" max="4" width="16" hidden="0" customWidth="1"/>
    <x:col min="5" max="5" width="16" hidden="0" customWidth="1"/>
    <x:col min="6" max="6" width="24" hidden="0" customWidth="1"/>
    <x:col min="7" max="7" width="18" hidden="0" customWidth="1"/>
    <x:col min="8" max="8" width="48" hidden="0" customWidth="1"/>
  </x:cols>
  <x:sheetData>
    <x:row r="1" ht="28" customHeight="1">
      <x:c r="A1" s="64" t="str">
        <x:v>EQUIPMENT OPTIONS | REPLACEMENT OF AD HOC SETUP</x:v>
      </x:c>
      <x:c r="B1" s="64" t="str">
        <x:v>EQUIPMENT OPTIONS | REPLACEMENT OF AD HOC SETUP</x:v>
      </x:c>
      <x:c r="C1" s="64" t="str">
        <x:v>EQUIPMENT OPTIONS | REPLACEMENT OF AD HOC SETUP</x:v>
      </x:c>
      <x:c r="D1" s="64" t="str">
        <x:v>EQUIPMENT OPTIONS | REPLACEMENT OF AD HOC SETUP</x:v>
      </x:c>
      <x:c r="E1" s="64" t="str">
        <x:v>EQUIPMENT OPTIONS | REPLACEMENT OF AD HOC SETUP</x:v>
      </x:c>
      <x:c r="F1" s="64" t="str">
        <x:v>EQUIPMENT OPTIONS | REPLACEMENT OF AD HOC SETUP</x:v>
      </x:c>
      <x:c r="G1" s="64" t="str">
        <x:v>EQUIPMENT OPTIONS | REPLACEMENT OF AD HOC SETUP</x:v>
      </x:c>
      <x:c r="H1" s="64" t="str">
        <x:v>EQUIPMENT OPTIONS | REPLACEMENT OF AD HOC SETUP</x:v>
      </x:c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str">
        <x:v>Option</x:v>
      </x:c>
      <x:c r="B3" s="66" t="str">
        <x:v>Indicative installed cost/site</x:v>
      </x:c>
      <x:c r="C3" s="66" t="str">
        <x:v>PTZ</x:v>
      </x:c>
      <x:c r="D3" s="66" t="str">
        <x:v>Tablet control</x:v>
      </x:c>
      <x:c r="E3" s="66" t="str">
        <x:v>Wireless</x:v>
      </x:c>
      <x:c r="F3" s="66" t="str">
        <x:v>QH Portal/far-end control</x:v>
      </x:c>
      <x:c r="G3" s="66" t="str">
        <x:v>Status</x:v>
      </x:c>
      <x:c r="H3" s="66" t="str">
        <x:v>Interpretation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70" t="str">
        <x:v>Current Panda Vision</x:v>
      </x:c>
      <x:c r="B4" s="98" t="n">
        <x:v>10000</x:v>
      </x:c>
      <x:c r="C4" s="70" t="str">
        <x:v>4K PTZ</x:v>
      </x:c>
      <x:c r="D4" s="70" t="str">
        <x:v>Built-in touchscreen</x:v>
      </x:c>
      <x:c r="E4" s="70" t="str">
        <x:v>QH network/Wi-Fi</x:v>
      </x:c>
      <x:c r="F4" s="70" t="str">
        <x:v>Documented compliant</x:v>
      </x:c>
      <x:c r="G4" s="70" t="str">
        <x:v>Current; invoice verify</x:v>
      </x:c>
      <x:c r="H4" s="70" t="str">
        <x:v>Purpose-built mount on Resuscitaire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70" t="str">
        <x:v>Tablet + OBSBOT Tiny 2 Lite</x:v>
      </x:c>
      <x:c r="B5" s="98" t="n">
        <x:v>4500</x:v>
      </x:c>
      <x:c r="C5" s="70" t="str">
        <x:v>2-axis digital PTZ</x:v>
      </x:c>
      <x:c r="D5" s="70" t="str">
        <x:v>Host-dependent</x:v>
      </x:c>
      <x:c r="E5" s="70" t="str">
        <x:v>USB-C wired</x:v>
      </x:c>
      <x:c r="F5" s="70" t="str">
        <x:v>Not verified</x:v>
      </x:c>
      <x:c r="G5" s="70" t="str">
        <x:v>Concept only</x:v>
      </x:c>
      <x:c r="H5" s="70" t="str">
        <x:v>Lowest hardware cost; docking, power, software and far-end control require validation</x:v>
      </x:c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70" t="str">
        <x:v>Tablet + OBSBOT Tail Air</x:v>
      </x:c>
      <x:c r="B6" s="98" t="n">
        <x:v>7500</x:v>
      </x:c>
      <x:c r="C6" s="70" t="str">
        <x:v>Motorised PTZ</x:v>
      </x:c>
      <x:c r="D6" s="70" t="str">
        <x:v>Obsbot Start app on tablet</x:v>
      </x:c>
      <x:c r="E6" s="70" t="str">
        <x:v>Wi-Fi/NDI; PoE/USB-C available</x:v>
      </x:c>
      <x:c r="F6" s="70" t="str">
        <x:v>Not verified</x:v>
      </x:c>
      <x:c r="G6" s="70" t="str">
        <x:v>Closest current architecture</x:v>
      </x:c>
      <x:c r="H6" s="70" t="str">
        <x:v>Can be controlled from tablet and used as webcam; no evidence of QH clinical integration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70" t="str">
        <x:v>Commercial telehealth cart</x:v>
      </x:c>
      <x:c r="B7" s="98" t="n">
        <x:v>45000</x:v>
      </x:c>
      <x:c r="C7" s="70" t="str">
        <x:v>Vendor PTZ</x:v>
      </x:c>
      <x:c r="D7" s="70" t="str">
        <x:v>Integrated console</x:v>
      </x:c>
      <x:c r="E7" s="70" t="str">
        <x:v>Usually networked</x:v>
      </x:c>
      <x:c r="F7" s="70" t="str">
        <x:v>Product-dependent</x:v>
      </x:c>
      <x:c r="G7" s="70" t="str">
        <x:v>Comparator</x:v>
      </x:c>
      <x:c r="H7" s="70" t="str">
        <x:v>Bulky and more costly; not purpose-designed for neonatal resuscitation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70"/>
      <x:c r="B8" s="70"/>
      <x:c r="C8" s="70"/>
      <x:c r="D8" s="70"/>
      <x:c r="E8" s="70"/>
      <x:c r="F8" s="70"/>
      <x:c r="G8" s="70"/>
      <x:c r="H8" s="70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70"/>
      <x:c r="B9" s="70"/>
      <x:c r="C9" s="70"/>
      <x:c r="D9" s="70"/>
      <x:c r="E9" s="70"/>
      <x:c r="F9" s="70"/>
      <x:c r="G9" s="70"/>
      <x:c r="H9" s="70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70" t="str">
        <x:v>Search conclusion: no off-the-shelf medically integrated tablet-mounted PTZ package was verified that exactly replaces Panda Vision. OBSBOT Tail Air is a plausible component because it supports tablet control, 4K PTZ, Wi-Fi/NDI, USB-C and PoE, but it is a consumer/prosumer camera. A replacement configuration should be prototyped and assessed by Biomedical Technology Services, eHealth Telehealth, cyber/privacy and clinical users before procurement.</x:v>
      </x:c>
      <x:c r="B10" s="70"/>
      <x:c r="C10" s="70"/>
      <x:c r="D10" s="70"/>
      <x:c r="E10" s="70"/>
      <x:c r="F10" s="70"/>
      <x:c r="G10" s="70"/>
      <x:c r="H10" s="70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70"/>
      <x:c r="B11" s="70"/>
      <x:c r="C11" s="70"/>
      <x:c r="D11" s="70"/>
      <x:c r="E11" s="70"/>
      <x:c r="F11" s="70"/>
      <x:c r="G11" s="70"/>
      <x:c r="H11" s="70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70"/>
      <x:c r="B12" s="70"/>
      <x:c r="C12" s="70"/>
      <x:c r="D12" s="70"/>
      <x:c r="E12" s="70"/>
      <x:c r="F12" s="70"/>
      <x:c r="G12" s="70"/>
      <x:c r="H12" s="70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6" t="str">
        <x:v>Source</x:v>
      </x:c>
      <x:c r="B14" s="66" t="str">
        <x:v>URL</x:v>
      </x:c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 t="str">
        <x:v>OBSBOT Tail Air</x:v>
      </x:c>
      <x:c r="B15" s="104" t="str">
        <x:v>https://www.obsbot.com/obsbot-tail-air-streaming-camera</x:v>
      </x:c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 t="str">
        <x:v>Current local configuration</x:v>
      </x:c>
      <x:c r="B16" s="104" t="str">
        <x:v>CHHHS ELC 21 October 2026, item 2.1.7</x:v>
      </x:c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H1"/>
    <x:mergeCell ref="A10:H1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18" hidden="0" customWidth="1"/>
    <x:col min="7" max="7" width="18" hidden="0" customWidth="1"/>
    <x:col min="8" max="8" width="44" hidden="0" customWidth="1"/>
  </x:cols>
  <x:sheetData>
    <x:row r="1" ht="28" customHeight="1">
      <x:c r="A1" s="64" t="str">
        <x:v>EXPLORATORY CLINICAL OUTCOME EXTENSION</x:v>
      </x:c>
      <x:c r="B1" s="64" t="str">
        <x:v>EXPLORATORY CLINICAL OUTCOME EXTENSION</x:v>
      </x:c>
      <x:c r="C1" s="64" t="str">
        <x:v>EXPLORATORY CLINICAL OUTCOME EXTENSION</x:v>
      </x:c>
      <x:c r="D1" s="64" t="str">
        <x:v>EXPLORATORY CLINICAL OUTCOME EXTENSION</x:v>
      </x:c>
      <x:c r="E1" s="64" t="str">
        <x:v>EXPLORATORY CLINICAL OUTCOME EXTENSION</x:v>
      </x:c>
      <x:c r="F1" s="64" t="str">
        <x:v>EXPLORATORY CLINICAL OUTCOME EXTENSION</x:v>
      </x:c>
      <x:c r="G1" s="64" t="str">
        <x:v>EXPLORATORY CLINICAL OUTCOME EXTENSION</x:v>
      </x:c>
      <x:c r="H1" s="64" t="str">
        <x:v>EXPLORATORY CLINICAL OUTCOME EXTENSION</x:v>
      </x:c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str">
        <x:v>Incremental survival probability/call</x:v>
      </x:c>
      <x:c r="B3" s="66" t="str">
        <x:v>Extra survivors/year</x:v>
      </x:c>
      <x:c r="C3" s="66" t="str">
        <x:v>Major morbidity share</x:v>
      </x:c>
      <x:c r="D3" s="66" t="str">
        <x:v>Survivors with major morbidity</x:v>
      </x:c>
      <x:c r="E3" s="66" t="str">
        <x:v>Incremental QALYs</x:v>
      </x:c>
      <x:c r="F3" s="66" t="str">
        <x:v>Lifetime costs</x:v>
      </x:c>
      <x:c r="G3" s="66" t="str">
        <x:v>NMB @ $50k/QALY</x:v>
      </x:c>
      <x:c r="H3" s="66" t="str">
        <x:v>Interpretation</x:v>
      </x:c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69" t="n">
        <x:v>0</x:v>
      </x:c>
      <x:c r="B4" s="116" t="n">
        <x:v>0</x:v>
      </x:c>
      <x:c r="C4" s="69" t="n">
        <x:v>0.35</x:v>
      </x:c>
      <x:c r="D4" s="116" t="n">
        <x:v>0</x:v>
      </x:c>
      <x:c r="E4" s="116" t="n">
        <x:v>0</x:v>
      </x:c>
      <x:c r="F4" s="68" t="n">
        <x:v>0</x:v>
      </x:c>
      <x:c r="G4" s="68" t="n">
        <x:v>0</x:v>
      </x:c>
      <x:c r="H4" s="65" t="str">
        <x:v>Exploratory structural scenario; not an effectiveness estimate</x:v>
      </x:c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69" t="n">
        <x:v>0.001</x:v>
      </x:c>
      <x:c r="B5" s="116" t="n">
        <x:v>0.0375</x:v>
      </x:c>
      <x:c r="C5" s="69" t="n">
        <x:v>0.35</x:v>
      </x:c>
      <x:c r="D5" s="116" t="n">
        <x:v>0.013125</x:v>
      </x:c>
      <x:c r="E5" s="116" t="n">
        <x:v>0.714375</x:v>
      </x:c>
      <x:c r="F5" s="68" t="n">
        <x:v>7781.25</x:v>
      </x:c>
      <x:c r="G5" s="68" t="n">
        <x:v>27937.5</x:v>
      </x:c>
      <x:c r="H5" s="65" t="str">
        <x:v>Exploratory structural scenario; not an effectiveness estimate</x:v>
      </x:c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69" t="n">
        <x:v>0.005</x:v>
      </x:c>
      <x:c r="B6" s="116" t="n">
        <x:v>0.1875</x:v>
      </x:c>
      <x:c r="C6" s="69" t="n">
        <x:v>0.35</x:v>
      </x:c>
      <x:c r="D6" s="116" t="n">
        <x:v>0.06562499999999999</x:v>
      </x:c>
      <x:c r="E6" s="116" t="n">
        <x:v>3.5718750000000004</x:v>
      </x:c>
      <x:c r="F6" s="68" t="n">
        <x:v>38906.24999999999</x:v>
      </x:c>
      <x:c r="G6" s="68" t="n">
        <x:v>139687.50000000003</x:v>
      </x:c>
      <x:c r="H6" s="65" t="str">
        <x:v>Exploratory structural scenario; not an effectiveness estimate</x:v>
      </x:c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69" t="n">
        <x:v>0.01</x:v>
      </x:c>
      <x:c r="B7" s="116" t="n">
        <x:v>0.375</x:v>
      </x:c>
      <x:c r="C7" s="69" t="n">
        <x:v>0.35</x:v>
      </x:c>
      <x:c r="D7" s="116" t="n">
        <x:v>0.13124999999999998</x:v>
      </x:c>
      <x:c r="E7" s="116" t="n">
        <x:v>7.143750000000001</x:v>
      </x:c>
      <x:c r="F7" s="68" t="n">
        <x:v>77812.49999999999</x:v>
      </x:c>
      <x:c r="G7" s="68" t="n">
        <x:v>279375.00000000006</x:v>
      </x:c>
      <x:c r="H7" s="65" t="str">
        <x:v>Exploratory structural scenario; not an effectiveness estimate</x:v>
      </x:c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65"/>
      <x:c r="B8" s="65"/>
      <x:c r="C8" s="65"/>
      <x:c r="D8" s="65"/>
      <x:c r="E8" s="65"/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65"/>
      <x:c r="B9" s="65"/>
      <x:c r="C9" s="65"/>
      <x:c r="D9" s="65"/>
      <x:c r="E9" s="65"/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70" t="str">
        <x:v>Why this is included: better resuscitation may prevent death or major injury, but additional survival can increase downstream expenditure, especially when major morbidity occurs. The primary evaluation therefore reports cost-consequences without assuming a mortality effect. This extension should remain disabled for decision-making until credible effect and long-term cost/QALY inputs are identified.</x:v>
      </x:c>
      <x:c r="B10" s="70"/>
      <x:c r="C10" s="70"/>
      <x:c r="D10" s="70"/>
      <x:c r="E10" s="70"/>
      <x:c r="F10" s="70"/>
      <x:c r="G10" s="70"/>
      <x:c r="H10" s="70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70"/>
      <x:c r="B11" s="70"/>
      <x:c r="C11" s="70"/>
      <x:c r="D11" s="70"/>
      <x:c r="E11" s="70"/>
      <x:c r="F11" s="70"/>
      <x:c r="G11" s="70"/>
      <x:c r="H11" s="70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70"/>
      <x:c r="B12" s="70"/>
      <x:c r="C12" s="70"/>
      <x:c r="D12" s="70"/>
      <x:c r="E12" s="70"/>
      <x:c r="F12" s="70"/>
      <x:c r="G12" s="70"/>
      <x:c r="H12" s="70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70"/>
      <x:c r="B13" s="70"/>
      <x:c r="C13" s="70"/>
      <x:c r="D13" s="70"/>
      <x:c r="E13" s="70"/>
      <x:c r="F13" s="70"/>
      <x:c r="G13" s="70"/>
      <x:c r="H13" s="70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H1"/>
    <x:mergeCell ref="A10:H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62" hidden="0" customWidth="1"/>
    <x:col min="3" max="3" width="38" hidden="0" customWidth="1"/>
    <x:col min="4" max="4" width="24" hidden="0" customWidth="1"/>
    <x:col min="5" max="5" width="44" hidden="0" customWidth="1"/>
  </x:cols>
  <x:sheetData>
    <x:row r="1" ht="28" customHeight="1">
      <x:c r="A1" s="64" t="str">
        <x:v>EVIDENCE REGISTER AND ASSUMPTION CLASSIFICATION</x:v>
      </x:c>
      <x:c r="B1" s="64" t="str">
        <x:v>EVIDENCE REGISTER AND ASSUMPTION CLASSIFICATION</x:v>
      </x:c>
      <x:c r="C1" s="64" t="str">
        <x:v>EVIDENCE REGISTER AND ASSUMPTION CLASSIFICATION</x:v>
      </x:c>
      <x:c r="D1" s="64" t="str">
        <x:v>EVIDENCE REGISTER AND ASSUMPTION CLASSIFICATION</x:v>
      </x:c>
      <x:c r="E1" s="64" t="str">
        <x:v>EVIDENCE REGISTER AND ASSUMPTION CLASSIFICATION</x:v>
      </x:c>
      <x:c r="F1" s="65"/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str">
        <x:v>ID</x:v>
      </x:c>
      <x:c r="B3" s="66" t="str">
        <x:v>Source</x:v>
      </x:c>
      <x:c r="C3" s="66" t="str">
        <x:v>Use</x:v>
      </x:c>
      <x:c r="D3" s="66" t="str">
        <x:v>Status</x:v>
      </x:c>
      <x:c r="E3" s="66" t="str">
        <x:v>Decision limit</x:v>
      </x:c>
      <x:c r="F3" s="65"/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70" t="str">
        <x:v>L1</x:v>
      </x:c>
      <x:c r="B4" s="85" t="str">
        <x:v>CHHHS ELC Operational, 21 Oct 2026, item 2.1.7</x:v>
      </x:c>
      <x:c r="C4" s="70" t="str">
        <x:v>Configuration, sites, pathway, $10k benchmark</x:v>
      </x:c>
      <x:c r="D4" s="70" t="str">
        <x:v>Local documented</x:v>
      </x:c>
      <x:c r="E4" s="70" t="str">
        <x:v>No quantified outcome effect</x:v>
      </x:c>
      <x:c r="F4" s="65"/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70" t="str">
        <x:v>L2</x:v>
      </x:c>
      <x:c r="B5" s="85" t="str">
        <x:v>Nicholas Cairns meeting, 27 Oct 2026</x:v>
      </x:c>
      <x:c r="C5" s="70" t="str">
        <x:v>4–5 Atherton episodes; 10–15/site-year</x:v>
      </x:c>
      <x:c r="D5" s="70" t="str">
        <x:v>Local estimate</x:v>
      </x:c>
      <x:c r="E5" s="70" t="str">
        <x:v>Retrospective case review required</x:v>
      </x:c>
      <x:c r="F5" s="65"/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70" t="str">
        <x:v>E1</x:v>
      </x:c>
      <x:c r="B6" s="85" t="str">
        <x:v>https://pubmed.ncbi.nlm.nih.gov/23148301/</x:v>
      </x:c>
      <x:c r="C6" s="70" t="str">
        <x:v>Queensland avoided-transfer evidence and 5% break-even precedent</x:v>
      </x:c>
      <x:c r="D6" s="70" t="str">
        <x:v>External empirical</x:v>
      </x:c>
      <x:c r="E6" s="70" t="str">
        <x:v>2012 technology and costs</x:v>
      </x:c>
      <x:c r="F6" s="65"/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70" t="str">
        <x:v>E2</x:v>
      </x:c>
      <x:c r="B7" s="85" t="str">
        <x:v>https://pubmed.ncbi.nlm.nih.gov/35074308/</x:v>
      </x:c>
      <x:c r="C7" s="70" t="str">
        <x:v>Decision model and PSA structure</x:v>
      </x:c>
      <x:c r="D7" s="70" t="str">
        <x:v>External model</x:v>
      </x:c>
      <x:c r="E7" s="70" t="str">
        <x:v>US financing/transport</x:v>
      </x:c>
      <x:c r="F7" s="65"/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70" t="str">
        <x:v>E3</x:v>
      </x:c>
      <x:c r="B8" s="85" t="str">
        <x:v>https://pubmed.ncbi.nlm.nih.gov/35235430/</x:v>
      </x:c>
      <x:c r="C8" s="70" t="str">
        <x:v>Decision-tree cost components and thresholds</x:v>
      </x:c>
      <x:c r="D8" s="70" t="str">
        <x:v>External model</x:v>
      </x:c>
      <x:c r="E8" s="70" t="str">
        <x:v>US programme</x:v>
      </x:c>
      <x:c r="F8" s="65"/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70" t="str">
        <x:v>E4</x:v>
      </x:c>
      <x:c r="B9" s="85" t="str">
        <x:v>https://pubmed.ncbi.nlm.nih.gov/32081766/</x:v>
      </x:c>
      <x:c r="C9" s="70" t="str">
        <x:v>Transfer effect: 64% vs 82%, adjusted OR 0.48</x:v>
      </x:c>
      <x:c r="D9" s="70" t="str">
        <x:v>External observational</x:v>
      </x:c>
      <x:c r="E9" s="70" t="str">
        <x:v>Confounding and different sites</x:v>
      </x:c>
      <x:c r="F9" s="65"/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70" t="str">
        <x:v>E5</x:v>
      </x:c>
      <x:c r="B10" s="85" t="str">
        <x:v>https://pubmed.ncbi.nlm.nih.gov/33691080/</x:v>
      </x:c>
      <x:c r="C10" s="70" t="str">
        <x:v>Stabilisation evidence</x:v>
      </x:c>
      <x:c r="D10" s="70" t="str">
        <x:v>External observational</x:v>
      </x:c>
      <x:c r="E10" s="70" t="str">
        <x:v>No significant time difference</x:v>
      </x:c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70" t="str">
        <x:v>E6</x:v>
      </x:c>
      <x:c r="B11" s="85" t="str">
        <x:v>https://pubmed.ncbi.nlm.nih.gov/32949204/</x:v>
      </x:c>
      <x:c r="C11" s="70" t="str">
        <x:v>Queensland neonatal transport-mode prior</x:v>
      </x:c>
      <x:c r="D11" s="70" t="str">
        <x:v>External/local-system study</x:v>
      </x:c>
      <x:c r="E11" s="70" t="str">
        <x:v>Outbound legs; not FNQ cohort</x:v>
      </x:c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70" t="str">
        <x:v>Q1</x:v>
      </x:c>
      <x:c r="B12" s="85" t="str">
        <x:v>https://www.ambulance.qld.gov.au/about/performance-data</x:v>
      </x:c>
      <x:c r="C12" s="70" t="str">
        <x:v>Current RSQ volumes</x:v>
      </x:c>
      <x:c r="D12" s="70" t="str">
        <x:v>Official</x:v>
      </x:c>
      <x:c r="E12" s="70" t="str">
        <x:v>No mode split</x:v>
      </x:c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70" t="str">
        <x:v>Q2</x:v>
      </x:c>
      <x:c r="B13" s="85" t="str">
        <x:v>https://www.health.qld.gov.au/system-governance/policies-standards/health-service-directives/retrieval-services</x:v>
      </x:c>
      <x:c r="C13" s="70" t="str">
        <x:v>Coordination and HHS aeromedical payment responsibility</x:v>
      </x:c>
      <x:c r="D13" s="70" t="str">
        <x:v>Official</x:v>
      </x:c>
      <x:c r="E13" s="70" t="str">
        <x:v>Contract prices not public</x:v>
      </x:c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70" t="str">
        <x:v>I1</x:v>
      </x:c>
      <x:c r="B14" s="85" t="str">
        <x:v>https://www.ihacpa.gov.au/resources/national-efficient-price-determination-2026-27</x:v>
      </x:c>
      <x:c r="C14" s="70" t="str">
        <x:v>NEP $7,418 and AR-DRG v12</x:v>
      </x:c>
      <x:c r="D14" s="70" t="str">
        <x:v>Official</x:v>
      </x:c>
      <x:c r="E14" s="70" t="str">
        <x:v>Benchmark, not cash saving</x:v>
      </x:c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70" t="str">
        <x:v>I2</x:v>
      </x:c>
      <x:c r="B15" s="85" t="str">
        <x:v>https://www.ihacpa.gov.au/resources/national-efficient-cost-determination-2026-27</x:v>
      </x:c>
      <x:c r="C15" s="70" t="str">
        <x:v>Rural block-funding context</x:v>
      </x:c>
      <x:c r="D15" s="70" t="str">
        <x:v>Official</x:v>
      </x:c>
      <x:c r="E15" s="70" t="str">
        <x:v>Facility funding regime to confirm</x:v>
      </x:c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70" t="str">
        <x:v>G1</x:v>
      </x:c>
      <x:c r="B16" s="85" t="str">
        <x:v>https://github.com/edithatogo/microcosting_healthworkforce</x:v>
      </x:c>
      <x:c r="C16" s="70" t="str">
        <x:v>Rate conversion/indexation/DSA patterns</x:v>
      </x:c>
      <x:c r="D16" s="70" t="str">
        <x:v>Reusable methods</x:v>
      </x:c>
      <x:c r="E16" s="70" t="str">
        <x:v>No rates imported</x:v>
      </x:c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70" t="str">
        <x:v>G2</x:v>
      </x:c>
      <x:c r="B17" s="85" t="str">
        <x:v>https://github.com/edithatogo/reimbursement-atlas</x:v>
      </x:c>
      <x:c r="C17" s="70" t="str">
        <x:v>IHACPA provenance/source registry</x:v>
      </x:c>
      <x:c r="D17" s="70" t="str">
        <x:v>Reusable provenance</x:v>
      </x:c>
      <x:c r="E17" s="70" t="str">
        <x:v>No turnkey NWAU engine found</x:v>
      </x:c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70" t="str">
        <x:v>G3</x:v>
      </x:c>
      <x:c r="B18" s="85" t="str">
        <x:v>https://github.com/edithatogo/voiage</x:v>
      </x:c>
      <x:c r="C18" s="70" t="str">
        <x:v>Future EVPI/EVPPI/EVSI</x:v>
      </x:c>
      <x:c r="D18" s="70" t="str">
        <x:v>Optional later</x:v>
      </x:c>
      <x:c r="E18" s="70" t="str">
        <x:v>Not required for base model</x:v>
      </x:c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3" topLeftCell="A4" activePane="bottomLeft" state="frozen"/>
    </x:sheetView>
  </x:sheetViews>
  <x:sheetFormatPr defaultRowHeight="15"/>
  <x:cols>
    <x:col min="1" max="1" width="24" hidden="0" customWidth="1"/>
    <x:col min="2" max="2" width="32" hidden="0" customWidth="1"/>
    <x:col min="3" max="3" width="30" hidden="0" customWidth="1"/>
    <x:col min="4" max="4" width="28" hidden="0" customWidth="1"/>
    <x:col min="5" max="5" width="22" hidden="0" customWidth="1"/>
    <x:col min="6" max="6" width="44" hidden="0" customWidth="1"/>
  </x:cols>
  <x:sheetData>
    <x:row r="1" ht="28" customHeight="1">
      <x:c r="A1" s="64" t="str">
        <x:v>METHODS, REPORTING AND DATA REQUEST</x:v>
      </x:c>
      <x:c r="B1" s="64" t="str">
        <x:v>METHODS, REPORTING AND DATA REQUEST</x:v>
      </x:c>
      <x:c r="C1" s="64" t="str">
        <x:v>METHODS, REPORTING AND DATA REQUEST</x:v>
      </x:c>
      <x:c r="D1" s="64" t="str">
        <x:v>METHODS, REPORTING AND DATA REQUEST</x:v>
      </x:c>
      <x:c r="E1" s="64" t="str">
        <x:v>METHODS, REPORTING AND DATA REQUEST</x:v>
      </x:c>
      <x:c r="F1" s="64" t="str">
        <x:v>METHODS, REPORTING AND DATA REQUEST</x:v>
      </x:c>
      <x:c r="G1" s="65"/>
      <x:c r="H1" s="65"/>
      <x:c r="I1" s="65"/>
      <x:c r="J1" s="65"/>
      <x:c r="K1" s="65"/>
      <x:c r="L1" s="65"/>
      <x:c r="M1" s="65"/>
      <x:c r="N1" s="65"/>
      <x:c r="O1" s="65"/>
      <x:c r="P1" s="65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  <x:c r="K2" s="65"/>
      <x:c r="L2" s="65"/>
      <x:c r="M2" s="65"/>
      <x:c r="N2" s="65"/>
      <x:c r="O2" s="65"/>
      <x:c r="P2" s="65"/>
      <x:c r="Q2" s="65"/>
      <x:c r="R2" s="65"/>
      <x:c r="S2" s="65"/>
      <x:c r="T2" s="65"/>
      <x:c r="U2" s="65"/>
      <x:c r="V2" s="65"/>
      <x:c r="W2" s="65"/>
      <x:c r="X2" s="65"/>
      <x:c r="Y2" s="65"/>
      <x:c r="Z2" s="65"/>
    </x:row>
    <x:row r="3">
      <x:c r="A3" s="66" t="str">
        <x:v>Component</x:v>
      </x:c>
      <x:c r="B3" s="66" t="str">
        <x:v>Method</x:v>
      </x:c>
      <x:c r="C3" s="66" t="str">
        <x:v>Primary output</x:v>
      </x:c>
      <x:c r="D3" s="66" t="str">
        <x:v>Standard</x:v>
      </x:c>
      <x:c r="E3" s="66" t="str">
        <x:v>Current status</x:v>
      </x:c>
      <x:c r="F3" s="66" t="str">
        <x:v>Next data item</x:v>
      </x:c>
      <x:c r="G3" s="65"/>
      <x:c r="H3" s="65"/>
      <x:c r="I3" s="65"/>
      <x:c r="J3" s="65"/>
      <x:c r="K3" s="65"/>
      <x:c r="L3" s="65"/>
      <x:c r="M3" s="65"/>
      <x:c r="N3" s="65"/>
      <x:c r="O3" s="65"/>
      <x:c r="P3" s="65"/>
      <x:c r="Q3" s="65"/>
      <x:c r="R3" s="65"/>
      <x:c r="S3" s="65"/>
      <x:c r="T3" s="65"/>
      <x:c r="U3" s="65"/>
      <x:c r="V3" s="65"/>
      <x:c r="W3" s="65"/>
      <x:c r="X3" s="65"/>
      <x:c r="Y3" s="65"/>
      <x:c r="Z3" s="65"/>
    </x:row>
    <x:row r="4">
      <x:c r="A4" s="70" t="str">
        <x:v>Primary economic analysis</x:v>
      </x:c>
      <x:c r="B4" s="70" t="str">
        <x:v>Annual cohort decision tree</x:v>
      </x:c>
      <x:c r="C4" s="70" t="str">
        <x:v>Costs, avoided transfers, cost-consequences</x:v>
      </x:c>
      <x:c r="D4" s="70" t="str">
        <x:v>CHEERS 2022</x:v>
      </x:c>
      <x:c r="E4" s="70" t="str">
        <x:v>Implemented</x:v>
      </x:c>
      <x:c r="F4" s="70" t="str">
        <x:v>Episode-level transfer decision and actual mode</x:v>
      </x:c>
      <x:c r="G4" s="65"/>
      <x:c r="H4" s="65"/>
      <x:c r="I4" s="65"/>
      <x:c r="J4" s="65"/>
      <x:c r="K4" s="65"/>
      <x:c r="L4" s="65"/>
      <x:c r="M4" s="65"/>
      <x:c r="N4" s="65"/>
      <x:c r="O4" s="65"/>
      <x:c r="P4" s="65"/>
      <x:c r="Q4" s="65"/>
      <x:c r="R4" s="65"/>
      <x:c r="S4" s="65"/>
      <x:c r="T4" s="65"/>
      <x:c r="U4" s="65"/>
      <x:c r="V4" s="65"/>
      <x:c r="W4" s="65"/>
      <x:c r="X4" s="65"/>
      <x:c r="Y4" s="65"/>
      <x:c r="Z4" s="65"/>
    </x:row>
    <x:row r="5">
      <x:c r="A5" s="70" t="str">
        <x:v>Budget impact</x:v>
      </x:c>
      <x:c r="B5" s="70" t="str">
        <x:v>Cash flow plus economic annualisation</x:v>
      </x:c>
      <x:c r="C5" s="70" t="str">
        <x:v>1-, 3- and 5-year organisational impact</x:v>
      </x:c>
      <x:c r="D5" s="70" t="str">
        <x:v>ISPOR budget impact principles</x:v>
      </x:c>
      <x:c r="E5" s="70" t="str">
        <x:v>Implemented</x:v>
      </x:c>
      <x:c r="F5" s="70" t="str">
        <x:v>Invoices, support and staff time</x:v>
      </x:c>
      <x:c r="G5" s="65"/>
      <x:c r="H5" s="65"/>
      <x:c r="I5" s="65"/>
      <x:c r="J5" s="65"/>
      <x:c r="K5" s="65"/>
      <x:c r="L5" s="65"/>
      <x:c r="M5" s="65"/>
      <x:c r="N5" s="65"/>
      <x:c r="O5" s="65"/>
      <x:c r="P5" s="65"/>
      <x:c r="Q5" s="65"/>
      <x:c r="R5" s="65"/>
      <x:c r="S5" s="65"/>
      <x:c r="T5" s="65"/>
      <x:c r="U5" s="65"/>
      <x:c r="V5" s="65"/>
      <x:c r="W5" s="65"/>
      <x:c r="X5" s="65"/>
      <x:c r="Y5" s="65"/>
      <x:c r="Z5" s="65"/>
    </x:row>
    <x:row r="6">
      <x:c r="A6" s="70" t="str">
        <x:v>Uncertainty</x:v>
      </x:c>
      <x:c r="B6" s="70" t="str">
        <x:v>Deterministic scenarios + PSA</x:v>
      </x:c>
      <x:c r="C6" s="70" t="str">
        <x:v>Probability cost-saving and 95% interval</x:v>
      </x:c>
      <x:c r="D6" s="70" t="str">
        <x:v>Good modelling practice</x:v>
      </x:c>
      <x:c r="E6" s="70" t="str">
        <x:v>Implemented</x:v>
      </x:c>
      <x:c r="F6" s="70" t="str">
        <x:v>Local priors and correlations</x:v>
      </x:c>
      <x:c r="G6" s="65"/>
      <x:c r="H6" s="65"/>
      <x:c r="I6" s="65"/>
      <x:c r="J6" s="65"/>
      <x:c r="K6" s="65"/>
      <x:c r="L6" s="65"/>
      <x:c r="M6" s="65"/>
      <x:c r="N6" s="65"/>
      <x:c r="O6" s="65"/>
      <x:c r="P6" s="65"/>
      <x:c r="Q6" s="65"/>
      <x:c r="R6" s="65"/>
      <x:c r="S6" s="65"/>
      <x:c r="T6" s="65"/>
      <x:c r="U6" s="65"/>
      <x:c r="V6" s="65"/>
      <x:c r="W6" s="65"/>
      <x:c r="X6" s="65"/>
      <x:c r="Y6" s="65"/>
      <x:c r="Z6" s="65"/>
    </x:row>
    <x:row r="7">
      <x:c r="A7" s="70" t="str">
        <x:v>Hospital resource use</x:v>
      </x:c>
      <x:c r="B7" s="70" t="str">
        <x:v>Actual DRG/NWAU plus NEP/NEC context</x:v>
      </x:c>
      <x:c r="C7" s="70" t="str">
        <x:v>Standardised benchmark and local cost differential</x:v>
      </x:c>
      <x:c r="D7" s="70" t="str">
        <x:v>IHACPA NEP26/AHPCS v4.2</x:v>
      </x:c>
      <x:c r="E7" s="70" t="str">
        <x:v>Framework ready</x:v>
      </x:c>
      <x:c r="F7" s="70" t="str">
        <x:v>DRG/NWAU extract for consulted neonates</x:v>
      </x:c>
      <x:c r="G7" s="65"/>
      <x:c r="H7" s="65"/>
      <x:c r="I7" s="65"/>
      <x:c r="J7" s="65"/>
      <x:c r="K7" s="65"/>
      <x:c r="L7" s="65"/>
      <x:c r="M7" s="65"/>
      <x:c r="N7" s="65"/>
      <x:c r="O7" s="65"/>
      <x:c r="P7" s="65"/>
      <x:c r="Q7" s="65"/>
      <x:c r="R7" s="65"/>
      <x:c r="S7" s="65"/>
      <x:c r="T7" s="65"/>
      <x:c r="U7" s="65"/>
      <x:c r="V7" s="65"/>
      <x:c r="W7" s="65"/>
      <x:c r="X7" s="65"/>
      <x:c r="Y7" s="65"/>
      <x:c r="Z7" s="65"/>
    </x:row>
    <x:row r="8">
      <x:c r="A8" s="70" t="str">
        <x:v>Clinical extension</x:v>
      </x:c>
      <x:c r="B8" s="70" t="str">
        <x:v>Death / survival with and without major morbidity</x:v>
      </x:c>
      <x:c r="C8" s="70" t="str">
        <x:v>QALYs, lifetime costs, NMB</x:v>
      </x:c>
      <x:c r="D8" s="70" t="str">
        <x:v>Exploratory only</x:v>
      </x:c>
      <x:c r="E8" s="70" t="str">
        <x:v>Disabled for base decision</x:v>
      </x:c>
      <x:c r="F8" s="70" t="str">
        <x:v>Credible effect and long-term outcome inputs</x:v>
      </x:c>
      <x:c r="G8" s="65"/>
      <x:c r="H8" s="65"/>
      <x:c r="I8" s="65"/>
      <x:c r="J8" s="65"/>
      <x:c r="K8" s="65"/>
      <x:c r="L8" s="65"/>
      <x:c r="M8" s="65"/>
      <x:c r="N8" s="65"/>
      <x:c r="O8" s="65"/>
      <x:c r="P8" s="65"/>
      <x:c r="Q8" s="65"/>
      <x:c r="R8" s="65"/>
      <x:c r="S8" s="65"/>
      <x:c r="T8" s="65"/>
      <x:c r="U8" s="65"/>
      <x:c r="V8" s="65"/>
      <x:c r="W8" s="65"/>
      <x:c r="X8" s="65"/>
      <x:c r="Y8" s="65"/>
      <x:c r="Z8" s="65"/>
    </x:row>
    <x:row r="9">
      <x:c r="A9" s="70" t="str">
        <x:v>Prospective validation</x:v>
      </x:c>
      <x:c r="B9" s="70" t="str">
        <x:v>Later registry if decision uncertainty remains</x:v>
      </x:c>
      <x:c r="C9" s="70" t="str">
        <x:v>Calibration and impact evaluation</x:v>
      </x:c>
      <x:c r="D9" s="70" t="str">
        <x:v>QA/research pathway to determine</x:v>
      </x:c>
      <x:c r="E9" s="70" t="str">
        <x:v>Not required for initial model</x:v>
      </x:c>
      <x:c r="F9" s="70" t="str">
        <x:v>Consistent episode form</x:v>
      </x:c>
      <x:c r="G9" s="65"/>
      <x:c r="H9" s="65"/>
      <x:c r="I9" s="65"/>
      <x:c r="J9" s="65"/>
      <x:c r="K9" s="65"/>
      <x:c r="L9" s="65"/>
      <x:c r="M9" s="65"/>
      <x:c r="N9" s="65"/>
      <x:c r="O9" s="65"/>
      <x:c r="P9" s="65"/>
      <x:c r="Q9" s="65"/>
      <x:c r="R9" s="65"/>
      <x:c r="S9" s="65"/>
      <x:c r="T9" s="65"/>
      <x:c r="U9" s="65"/>
      <x:c r="V9" s="65"/>
      <x:c r="W9" s="65"/>
      <x:c r="X9" s="65"/>
      <x:c r="Y9" s="65"/>
      <x:c r="Z9" s="65"/>
    </x:row>
    <x:row r="10">
      <x:c r="A10" s="65"/>
      <x:c r="B10" s="65"/>
      <x:c r="C10" s="65"/>
      <x:c r="D10" s="65"/>
      <x:c r="E10" s="65"/>
      <x:c r="F10" s="65"/>
      <x:c r="G10" s="65"/>
      <x:c r="H10" s="65"/>
      <x:c r="I10" s="65"/>
      <x:c r="J10" s="65"/>
      <x:c r="K10" s="65"/>
      <x:c r="L10" s="65"/>
      <x:c r="M10" s="65"/>
      <x:c r="N10" s="65"/>
      <x:c r="O10" s="65"/>
      <x:c r="P10" s="65"/>
      <x:c r="Q10" s="65"/>
      <x:c r="R10" s="65"/>
      <x:c r="S10" s="65"/>
      <x:c r="T10" s="65"/>
      <x:c r="U10" s="65"/>
      <x:c r="V10" s="65"/>
      <x:c r="W10" s="65"/>
      <x:c r="X10" s="65"/>
      <x:c r="Y10" s="65"/>
      <x:c r="Z10" s="65"/>
    </x:row>
    <x:row r="11">
      <x:c r="A11" s="65"/>
      <x:c r="B11" s="65"/>
      <x:c r="C11" s="65"/>
      <x:c r="D11" s="65"/>
      <x:c r="E11" s="65"/>
      <x:c r="F11" s="65"/>
      <x:c r="G11" s="65"/>
      <x:c r="H11" s="65"/>
      <x:c r="I11" s="65"/>
      <x:c r="J11" s="65"/>
      <x:c r="K11" s="65"/>
      <x:c r="L11" s="65"/>
      <x:c r="M11" s="65"/>
      <x:c r="N11" s="65"/>
      <x:c r="O11" s="65"/>
      <x:c r="P11" s="65"/>
      <x:c r="Q11" s="65"/>
      <x:c r="R11" s="65"/>
      <x:c r="S11" s="65"/>
      <x:c r="T11" s="65"/>
      <x:c r="U11" s="65"/>
      <x:c r="V11" s="65"/>
      <x:c r="W11" s="65"/>
      <x:c r="X11" s="65"/>
      <x:c r="Y11" s="65"/>
      <x:c r="Z11" s="65"/>
    </x:row>
    <x:row r="12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  <x:c r="M12" s="65"/>
      <x:c r="N12" s="65"/>
      <x:c r="O12" s="65"/>
      <x:c r="P12" s="65"/>
      <x:c r="Q12" s="65"/>
      <x:c r="R12" s="65"/>
      <x:c r="S12" s="65"/>
      <x:c r="T12" s="65"/>
      <x:c r="U12" s="65"/>
      <x:c r="V12" s="65"/>
      <x:c r="W12" s="65"/>
      <x:c r="X12" s="65"/>
      <x:c r="Y12" s="65"/>
      <x:c r="Z12" s="65"/>
    </x:row>
    <x:row r="13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  <x:c r="M13" s="65"/>
      <x:c r="N13" s="65"/>
      <x:c r="O13" s="65"/>
      <x:c r="P13" s="65"/>
      <x:c r="Q13" s="65"/>
      <x:c r="R13" s="65"/>
      <x:c r="S13" s="65"/>
      <x:c r="T13" s="65"/>
      <x:c r="U13" s="65"/>
      <x:c r="V13" s="65"/>
      <x:c r="W13" s="65"/>
      <x:c r="X13" s="65"/>
      <x:c r="Y13" s="65"/>
      <x:c r="Z13" s="65"/>
    </x:row>
    <x:row r="14">
      <x:c r="A14" s="65"/>
      <x:c r="B14" s="65"/>
      <x:c r="C14" s="65"/>
      <x:c r="D14" s="65"/>
      <x:c r="E14" s="65"/>
      <x:c r="F14" s="65"/>
      <x:c r="G14" s="65"/>
      <x:c r="H14" s="65"/>
      <x:c r="I14" s="65"/>
      <x:c r="J14" s="65"/>
      <x:c r="K14" s="65"/>
      <x:c r="L14" s="65"/>
      <x:c r="M14" s="65"/>
      <x:c r="N14" s="65"/>
      <x:c r="O14" s="65"/>
      <x:c r="P14" s="65"/>
      <x:c r="Q14" s="65"/>
      <x:c r="R14" s="65"/>
      <x:c r="S14" s="65"/>
      <x:c r="T14" s="65"/>
      <x:c r="U14" s="65"/>
      <x:c r="V14" s="65"/>
      <x:c r="W14" s="65"/>
      <x:c r="X14" s="65"/>
      <x:c r="Y14" s="65"/>
      <x:c r="Z14" s="65"/>
    </x:row>
    <x:row r="15">
      <x:c r="A15" s="65"/>
      <x:c r="B15" s="65"/>
      <x:c r="C15" s="65"/>
      <x:c r="D15" s="65"/>
      <x:c r="E15" s="65"/>
      <x:c r="F15" s="65"/>
      <x:c r="G15" s="65"/>
      <x:c r="H15" s="65"/>
      <x:c r="I15" s="65"/>
      <x:c r="J15" s="65"/>
      <x:c r="K15" s="65"/>
      <x:c r="L15" s="65"/>
      <x:c r="M15" s="65"/>
      <x:c r="N15" s="65"/>
      <x:c r="O15" s="65"/>
      <x:c r="P15" s="65"/>
      <x:c r="Q15" s="65"/>
      <x:c r="R15" s="65"/>
      <x:c r="S15" s="65"/>
      <x:c r="T15" s="65"/>
      <x:c r="U15" s="65"/>
      <x:c r="V15" s="65"/>
      <x:c r="W15" s="65"/>
      <x:c r="X15" s="65"/>
      <x:c r="Y15" s="65"/>
      <x:c r="Z15" s="65"/>
    </x:row>
    <x:row r="16">
      <x:c r="A16" s="65"/>
      <x:c r="B16" s="65"/>
      <x:c r="C16" s="65"/>
      <x:c r="D16" s="65"/>
      <x:c r="E16" s="65"/>
      <x:c r="F16" s="65"/>
      <x:c r="G16" s="65"/>
      <x:c r="H16" s="65"/>
      <x:c r="I16" s="65"/>
      <x:c r="J16" s="65"/>
      <x:c r="K16" s="65"/>
      <x:c r="L16" s="65"/>
      <x:c r="M16" s="65"/>
      <x:c r="N16" s="65"/>
      <x:c r="O16" s="65"/>
      <x:c r="P16" s="65"/>
      <x:c r="Q16" s="65"/>
      <x:c r="R16" s="65"/>
      <x:c r="S16" s="65"/>
      <x:c r="T16" s="65"/>
      <x:c r="U16" s="65"/>
      <x:c r="V16" s="65"/>
      <x:c r="W16" s="65"/>
      <x:c r="X16" s="65"/>
      <x:c r="Y16" s="65"/>
      <x:c r="Z16" s="65"/>
    </x:row>
    <x:row r="17">
      <x:c r="A17" s="65"/>
      <x:c r="B17" s="65"/>
      <x:c r="C17" s="65"/>
      <x:c r="D17" s="65"/>
      <x:c r="E17" s="65"/>
      <x:c r="F17" s="65"/>
      <x:c r="G17" s="65"/>
      <x:c r="H17" s="65"/>
      <x:c r="I17" s="65"/>
      <x:c r="J17" s="65"/>
      <x:c r="K17" s="65"/>
      <x:c r="L17" s="65"/>
      <x:c r="M17" s="65"/>
      <x:c r="N17" s="65"/>
      <x:c r="O17" s="65"/>
      <x:c r="P17" s="65"/>
      <x:c r="Q17" s="65"/>
      <x:c r="R17" s="65"/>
      <x:c r="S17" s="65"/>
      <x:c r="T17" s="65"/>
      <x:c r="U17" s="65"/>
      <x:c r="V17" s="65"/>
      <x:c r="W17" s="65"/>
      <x:c r="X17" s="65"/>
      <x:c r="Y17" s="65"/>
      <x:c r="Z17" s="65"/>
    </x:row>
    <x:row r="18">
      <x:c r="A18" s="65"/>
      <x:c r="B18" s="65"/>
      <x:c r="C18" s="65"/>
      <x:c r="D18" s="65"/>
      <x:c r="E18" s="65"/>
      <x:c r="F18" s="65"/>
      <x:c r="G18" s="65"/>
      <x:c r="H18" s="65"/>
      <x:c r="I18" s="65"/>
      <x:c r="J18" s="65"/>
      <x:c r="K18" s="65"/>
      <x:c r="L18" s="65"/>
      <x:c r="M18" s="65"/>
      <x:c r="N18" s="65"/>
      <x:c r="O18" s="65"/>
      <x:c r="P18" s="65"/>
      <x:c r="Q18" s="65"/>
      <x:c r="R18" s="65"/>
      <x:c r="S18" s="65"/>
      <x:c r="T18" s="65"/>
      <x:c r="U18" s="65"/>
      <x:c r="V18" s="65"/>
      <x:c r="W18" s="65"/>
      <x:c r="X18" s="65"/>
      <x:c r="Y18" s="65"/>
      <x:c r="Z18" s="65"/>
    </x:row>
    <x:row r="19">
      <x:c r="A19" s="65"/>
      <x:c r="B19" s="65"/>
      <x:c r="C19" s="65"/>
      <x:c r="D19" s="65"/>
      <x:c r="E19" s="65"/>
      <x:c r="F19" s="65"/>
      <x:c r="G19" s="65"/>
      <x:c r="H19" s="65"/>
      <x:c r="I19" s="65"/>
      <x:c r="J19" s="65"/>
      <x:c r="K19" s="65"/>
      <x:c r="L19" s="65"/>
      <x:c r="M19" s="65"/>
      <x:c r="N19" s="65"/>
      <x:c r="O19" s="65"/>
      <x:c r="P19" s="65"/>
      <x:c r="Q19" s="65"/>
      <x:c r="R19" s="65"/>
      <x:c r="S19" s="65"/>
      <x:c r="T19" s="65"/>
      <x:c r="U19" s="65"/>
      <x:c r="V19" s="65"/>
      <x:c r="W19" s="65"/>
      <x:c r="X19" s="65"/>
      <x:c r="Y19" s="65"/>
      <x:c r="Z19" s="65"/>
    </x:row>
    <x:row r="20">
      <x:c r="A20" s="65"/>
      <x:c r="B20" s="65"/>
      <x:c r="C20" s="65"/>
      <x:c r="D20" s="65"/>
      <x:c r="E20" s="65"/>
      <x:c r="F20" s="65"/>
      <x:c r="G20" s="65"/>
      <x:c r="H20" s="65"/>
      <x:c r="I20" s="65"/>
      <x:c r="J20" s="65"/>
      <x:c r="K20" s="65"/>
      <x:c r="L20" s="65"/>
      <x:c r="M20" s="65"/>
      <x:c r="N20" s="65"/>
      <x:c r="O20" s="65"/>
      <x:c r="P20" s="65"/>
      <x:c r="Q20" s="65"/>
      <x:c r="R20" s="65"/>
      <x:c r="S20" s="65"/>
      <x:c r="T20" s="65"/>
      <x:c r="U20" s="65"/>
      <x:c r="V20" s="65"/>
      <x:c r="W20" s="65"/>
      <x:c r="X20" s="65"/>
      <x:c r="Y20" s="65"/>
      <x:c r="Z20" s="65"/>
    </x:row>
    <x:row r="21">
      <x:c r="A21" s="65"/>
      <x:c r="B21" s="65"/>
      <x:c r="C21" s="65"/>
      <x:c r="D21" s="65"/>
      <x:c r="E21" s="65"/>
      <x:c r="F21" s="65"/>
      <x:c r="G21" s="65"/>
      <x:c r="H21" s="65"/>
      <x:c r="I21" s="65"/>
      <x:c r="J21" s="65"/>
      <x:c r="K21" s="65"/>
      <x:c r="L21" s="65"/>
      <x:c r="M21" s="65"/>
      <x:c r="N21" s="65"/>
      <x:c r="O21" s="65"/>
      <x:c r="P21" s="65"/>
      <x:c r="Q21" s="65"/>
      <x:c r="R21" s="65"/>
      <x:c r="S21" s="65"/>
      <x:c r="T21" s="65"/>
      <x:c r="U21" s="65"/>
      <x:c r="V21" s="65"/>
      <x:c r="W21" s="65"/>
      <x:c r="X21" s="65"/>
      <x:c r="Y21" s="65"/>
      <x:c r="Z21" s="65"/>
    </x:row>
    <x:row r="22">
      <x:c r="A22" s="65"/>
      <x:c r="B22" s="65"/>
      <x:c r="C22" s="65"/>
      <x:c r="D22" s="65"/>
      <x:c r="E22" s="65"/>
      <x:c r="F22" s="65"/>
      <x:c r="G22" s="65"/>
      <x:c r="H22" s="65"/>
      <x:c r="I22" s="65"/>
      <x:c r="J22" s="65"/>
      <x:c r="K22" s="65"/>
      <x:c r="L22" s="65"/>
      <x:c r="M22" s="65"/>
      <x:c r="N22" s="65"/>
      <x:c r="O22" s="65"/>
      <x:c r="P22" s="65"/>
      <x:c r="Q22" s="65"/>
      <x:c r="R22" s="65"/>
      <x:c r="S22" s="65"/>
      <x:c r="T22" s="65"/>
      <x:c r="U22" s="65"/>
      <x:c r="V22" s="65"/>
      <x:c r="W22" s="65"/>
      <x:c r="X22" s="65"/>
      <x:c r="Y22" s="65"/>
      <x:c r="Z22" s="65"/>
    </x:row>
    <x:row r="23">
      <x:c r="A23" s="65"/>
      <x:c r="B23" s="65"/>
      <x:c r="C23" s="65"/>
      <x:c r="D23" s="65"/>
      <x:c r="E23" s="65"/>
      <x:c r="F23" s="65"/>
      <x:c r="G23" s="65"/>
      <x:c r="H23" s="65"/>
      <x:c r="I23" s="65"/>
      <x:c r="J23" s="65"/>
      <x:c r="K23" s="65"/>
      <x:c r="L23" s="65"/>
      <x:c r="M23" s="65"/>
      <x:c r="N23" s="65"/>
      <x:c r="O23" s="65"/>
      <x:c r="P23" s="65"/>
      <x:c r="Q23" s="65"/>
      <x:c r="R23" s="65"/>
      <x:c r="S23" s="65"/>
      <x:c r="T23" s="65"/>
      <x:c r="U23" s="65"/>
      <x:c r="V23" s="65"/>
      <x:c r="W23" s="65"/>
      <x:c r="X23" s="65"/>
      <x:c r="Y23" s="65"/>
      <x:c r="Z23" s="65"/>
    </x:row>
    <x:row r="24">
      <x:c r="A24" s="65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5"/>
      <x:c r="M24" s="65"/>
      <x:c r="N24" s="65"/>
      <x:c r="O24" s="65"/>
      <x:c r="P24" s="65"/>
      <x:c r="Q24" s="65"/>
      <x:c r="R24" s="65"/>
      <x:c r="S24" s="65"/>
      <x:c r="T24" s="65"/>
      <x:c r="U24" s="65"/>
      <x:c r="V24" s="65"/>
      <x:c r="W24" s="65"/>
      <x:c r="X24" s="65"/>
      <x:c r="Y24" s="65"/>
      <x:c r="Z24" s="65"/>
    </x:row>
    <x:row r="25">
      <x:c r="A25" s="65"/>
      <x:c r="B25" s="65"/>
      <x:c r="C25" s="65"/>
      <x:c r="D25" s="65"/>
      <x:c r="E25" s="65"/>
      <x:c r="F25" s="65"/>
      <x:c r="G25" s="65"/>
      <x:c r="H25" s="65"/>
      <x:c r="I25" s="65"/>
      <x:c r="J25" s="65"/>
      <x:c r="K25" s="65"/>
      <x:c r="L25" s="65"/>
      <x:c r="M25" s="65"/>
      <x:c r="N25" s="65"/>
      <x:c r="O25" s="65"/>
      <x:c r="P25" s="65"/>
      <x:c r="Q25" s="65"/>
      <x:c r="R25" s="65"/>
      <x:c r="S25" s="65"/>
      <x:c r="T25" s="65"/>
      <x:c r="U25" s="65"/>
      <x:c r="V25" s="65"/>
      <x:c r="W25" s="65"/>
      <x:c r="X25" s="65"/>
      <x:c r="Y25" s="65"/>
      <x:c r="Z25" s="65"/>
    </x:row>
    <x:row r="26">
      <x:c r="A26" s="65"/>
      <x:c r="B26" s="65"/>
      <x:c r="C26" s="65"/>
      <x:c r="D26" s="65"/>
      <x:c r="E26" s="65"/>
      <x:c r="F26" s="65"/>
      <x:c r="G26" s="65"/>
      <x:c r="H26" s="65"/>
      <x:c r="I26" s="65"/>
      <x:c r="J26" s="65"/>
      <x:c r="K26" s="65"/>
      <x:c r="L26" s="65"/>
      <x:c r="M26" s="65"/>
      <x:c r="N26" s="65"/>
      <x:c r="O26" s="65"/>
      <x:c r="P26" s="65"/>
      <x:c r="Q26" s="65"/>
      <x:c r="R26" s="65"/>
      <x:c r="S26" s="65"/>
      <x:c r="T26" s="65"/>
      <x:c r="U26" s="65"/>
      <x:c r="V26" s="65"/>
      <x:c r="W26" s="65"/>
      <x:c r="X26" s="65"/>
      <x:c r="Y26" s="65"/>
      <x:c r="Z26" s="65"/>
    </x:row>
    <x:row r="27">
      <x:c r="A27" s="65"/>
      <x:c r="B27" s="65"/>
      <x:c r="C27" s="65"/>
      <x:c r="D27" s="65"/>
      <x:c r="E27" s="65"/>
      <x:c r="F27" s="65"/>
      <x:c r="G27" s="65"/>
      <x:c r="H27" s="65"/>
      <x:c r="I27" s="65"/>
      <x:c r="J27" s="65"/>
      <x:c r="K27" s="65"/>
      <x:c r="L27" s="65"/>
      <x:c r="M27" s="65"/>
      <x:c r="N27" s="65"/>
      <x:c r="O27" s="65"/>
      <x:c r="P27" s="65"/>
      <x:c r="Q27" s="65"/>
      <x:c r="R27" s="65"/>
      <x:c r="S27" s="65"/>
      <x:c r="T27" s="65"/>
      <x:c r="U27" s="65"/>
      <x:c r="V27" s="65"/>
      <x:c r="W27" s="65"/>
      <x:c r="X27" s="65"/>
      <x:c r="Y27" s="65"/>
      <x:c r="Z27" s="65"/>
    </x:row>
    <x:row r="28">
      <x:c r="A28" s="65"/>
      <x:c r="B28" s="65"/>
      <x:c r="C28" s="65"/>
      <x:c r="D28" s="65"/>
      <x:c r="E28" s="65"/>
      <x:c r="F28" s="65"/>
      <x:c r="G28" s="65"/>
      <x:c r="H28" s="65"/>
      <x:c r="I28" s="65"/>
      <x:c r="J28" s="65"/>
      <x:c r="K28" s="65"/>
      <x:c r="L28" s="65"/>
      <x:c r="M28" s="65"/>
      <x:c r="N28" s="65"/>
      <x:c r="O28" s="65"/>
      <x:c r="P28" s="65"/>
      <x:c r="Q28" s="65"/>
      <x:c r="R28" s="65"/>
      <x:c r="S28" s="65"/>
      <x:c r="T28" s="65"/>
      <x:c r="U28" s="65"/>
      <x:c r="V28" s="65"/>
      <x:c r="W28" s="65"/>
      <x:c r="X28" s="65"/>
      <x:c r="Y28" s="65"/>
      <x:c r="Z28" s="65"/>
    </x:row>
    <x:row r="29">
      <x:c r="A29" s="65"/>
      <x:c r="B29" s="65"/>
      <x:c r="C29" s="65"/>
      <x:c r="D29" s="65"/>
      <x:c r="E29" s="65"/>
      <x:c r="F29" s="65"/>
      <x:c r="G29" s="65"/>
      <x:c r="H29" s="65"/>
      <x:c r="I29" s="65"/>
      <x:c r="J29" s="65"/>
      <x:c r="K29" s="65"/>
      <x:c r="L29" s="65"/>
      <x:c r="M29" s="65"/>
      <x:c r="N29" s="65"/>
      <x:c r="O29" s="65"/>
      <x:c r="P29" s="65"/>
      <x:c r="Q29" s="65"/>
      <x:c r="R29" s="65"/>
      <x:c r="S29" s="65"/>
      <x:c r="T29" s="65"/>
      <x:c r="U29" s="65"/>
      <x:c r="V29" s="65"/>
      <x:c r="W29" s="65"/>
      <x:c r="X29" s="65"/>
      <x:c r="Y29" s="65"/>
      <x:c r="Z29" s="65"/>
    </x:row>
    <x:row r="30">
      <x:c r="A30" s="65"/>
      <x:c r="B30" s="65"/>
      <x:c r="C30" s="65"/>
      <x:c r="D30" s="65"/>
      <x:c r="E30" s="65"/>
      <x:c r="F30" s="65"/>
      <x:c r="G30" s="65"/>
      <x:c r="H30" s="65"/>
      <x:c r="I30" s="65"/>
      <x:c r="J30" s="65"/>
      <x:c r="K30" s="65"/>
      <x:c r="L30" s="65"/>
      <x:c r="M30" s="65"/>
      <x:c r="N30" s="65"/>
      <x:c r="O30" s="65"/>
      <x:c r="P30" s="65"/>
      <x:c r="Q30" s="65"/>
      <x:c r="R30" s="65"/>
      <x:c r="S30" s="65"/>
      <x:c r="T30" s="65"/>
      <x:c r="U30" s="65"/>
      <x:c r="V30" s="65"/>
      <x:c r="W30" s="65"/>
      <x:c r="X30" s="65"/>
      <x:c r="Y30" s="65"/>
      <x:c r="Z30" s="65"/>
    </x:row>
    <x:row r="31">
      <x:c r="A31" s="65"/>
      <x:c r="B31" s="65"/>
      <x:c r="C31" s="65"/>
      <x:c r="D31" s="65"/>
      <x:c r="E31" s="65"/>
      <x:c r="F31" s="65"/>
      <x:c r="G31" s="65"/>
      <x:c r="H31" s="65"/>
      <x:c r="I31" s="65"/>
      <x:c r="J31" s="65"/>
      <x:c r="K31" s="65"/>
      <x:c r="L31" s="65"/>
      <x:c r="M31" s="65"/>
      <x:c r="N31" s="65"/>
      <x:c r="O31" s="65"/>
      <x:c r="P31" s="65"/>
      <x:c r="Q31" s="65"/>
      <x:c r="R31" s="65"/>
      <x:c r="S31" s="65"/>
      <x:c r="T31" s="65"/>
      <x:c r="U31" s="65"/>
      <x:c r="V31" s="65"/>
      <x:c r="W31" s="65"/>
      <x:c r="X31" s="65"/>
      <x:c r="Y31" s="65"/>
      <x:c r="Z31" s="65"/>
    </x:row>
    <x:row r="32">
      <x:c r="A32" s="65"/>
      <x:c r="B32" s="65"/>
      <x:c r="C32" s="65"/>
      <x:c r="D32" s="65"/>
      <x:c r="E32" s="65"/>
      <x:c r="F32" s="65"/>
      <x:c r="G32" s="65"/>
      <x:c r="H32" s="65"/>
      <x:c r="I32" s="65"/>
      <x:c r="J32" s="65"/>
      <x:c r="K32" s="65"/>
      <x:c r="L32" s="65"/>
      <x:c r="M32" s="65"/>
      <x:c r="N32" s="65"/>
      <x:c r="O32" s="65"/>
      <x:c r="P32" s="65"/>
      <x:c r="Q32" s="65"/>
      <x:c r="R32" s="65"/>
      <x:c r="S32" s="65"/>
      <x:c r="T32" s="65"/>
      <x:c r="U32" s="65"/>
      <x:c r="V32" s="65"/>
      <x:c r="W32" s="65"/>
      <x:c r="X32" s="65"/>
      <x:c r="Y32" s="65"/>
      <x:c r="Z32" s="65"/>
    </x:row>
    <x:row r="33">
      <x:c r="A33" s="65"/>
      <x:c r="B33" s="65"/>
      <x:c r="C33" s="65"/>
      <x:c r="D33" s="65"/>
      <x:c r="E33" s="65"/>
      <x:c r="F33" s="65"/>
      <x:c r="G33" s="65"/>
      <x:c r="H33" s="65"/>
      <x:c r="I33" s="65"/>
      <x:c r="J33" s="65"/>
      <x:c r="K33" s="65"/>
      <x:c r="L33" s="65"/>
      <x:c r="M33" s="65"/>
      <x:c r="N33" s="65"/>
      <x:c r="O33" s="65"/>
      <x:c r="P33" s="65"/>
      <x:c r="Q33" s="65"/>
      <x:c r="R33" s="65"/>
      <x:c r="S33" s="65"/>
      <x:c r="T33" s="65"/>
      <x:c r="U33" s="65"/>
      <x:c r="V33" s="65"/>
      <x:c r="W33" s="65"/>
      <x:c r="X33" s="65"/>
      <x:c r="Y33" s="65"/>
      <x:c r="Z33" s="65"/>
    </x:row>
    <x:row r="34">
      <x:c r="A34" s="65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5"/>
      <x:c r="M34" s="65"/>
      <x:c r="N34" s="65"/>
      <x:c r="O34" s="65"/>
      <x:c r="P34" s="65"/>
      <x:c r="Q34" s="65"/>
      <x:c r="R34" s="65"/>
      <x:c r="S34" s="65"/>
      <x:c r="T34" s="65"/>
      <x:c r="U34" s="65"/>
      <x:c r="V34" s="65"/>
      <x:c r="W34" s="65"/>
      <x:c r="X34" s="65"/>
      <x:c r="Y34" s="65"/>
      <x:c r="Z34" s="65"/>
    </x:row>
    <x:row r="35">
      <x:c r="A35" s="65"/>
      <x:c r="B35" s="65"/>
      <x:c r="C35" s="65"/>
      <x:c r="D35" s="65"/>
      <x:c r="E35" s="65"/>
      <x:c r="F35" s="65"/>
      <x:c r="G35" s="65"/>
      <x:c r="H35" s="65"/>
      <x:c r="I35" s="65"/>
      <x:c r="J35" s="65"/>
      <x:c r="K35" s="65"/>
      <x:c r="L35" s="65"/>
      <x:c r="M35" s="65"/>
      <x:c r="N35" s="65"/>
      <x:c r="O35" s="65"/>
      <x:c r="P35" s="65"/>
      <x:c r="Q35" s="65"/>
      <x:c r="R35" s="65"/>
      <x:c r="S35" s="65"/>
      <x:c r="T35" s="65"/>
      <x:c r="U35" s="65"/>
      <x:c r="V35" s="65"/>
      <x:c r="W35" s="65"/>
      <x:c r="X35" s="65"/>
      <x:c r="Y35" s="65"/>
      <x:c r="Z35" s="65"/>
    </x:row>
    <x:row r="36">
      <x:c r="A36" s="65"/>
      <x:c r="B36" s="65"/>
      <x:c r="C36" s="65"/>
      <x:c r="D36" s="65"/>
      <x:c r="E36" s="65"/>
      <x:c r="F36" s="65"/>
      <x:c r="G36" s="65"/>
      <x:c r="H36" s="65"/>
      <x:c r="I36" s="65"/>
      <x:c r="J36" s="65"/>
      <x:c r="K36" s="65"/>
      <x:c r="L36" s="65"/>
      <x:c r="M36" s="65"/>
      <x:c r="N36" s="65"/>
      <x:c r="O36" s="65"/>
      <x:c r="P36" s="65"/>
      <x:c r="Q36" s="65"/>
      <x:c r="R36" s="65"/>
      <x:c r="S36" s="65"/>
      <x:c r="T36" s="65"/>
      <x:c r="U36" s="65"/>
      <x:c r="V36" s="65"/>
      <x:c r="W36" s="65"/>
      <x:c r="X36" s="65"/>
      <x:c r="Y36" s="65"/>
      <x:c r="Z36" s="65"/>
    </x:row>
    <x:row r="37">
      <x:c r="A37" s="65"/>
      <x:c r="B37" s="65"/>
      <x:c r="C37" s="65"/>
      <x:c r="D37" s="65"/>
      <x:c r="E37" s="65"/>
      <x:c r="F37" s="65"/>
      <x:c r="G37" s="65"/>
      <x:c r="H37" s="65"/>
      <x:c r="I37" s="65"/>
      <x:c r="J37" s="65"/>
      <x:c r="K37" s="65"/>
      <x:c r="L37" s="65"/>
      <x:c r="M37" s="65"/>
      <x:c r="N37" s="65"/>
      <x:c r="O37" s="65"/>
      <x:c r="P37" s="65"/>
      <x:c r="Q37" s="65"/>
      <x:c r="R37" s="65"/>
      <x:c r="S37" s="65"/>
      <x:c r="T37" s="65"/>
      <x:c r="U37" s="65"/>
      <x:c r="V37" s="65"/>
      <x:c r="W37" s="65"/>
      <x:c r="X37" s="65"/>
      <x:c r="Y37" s="65"/>
      <x:c r="Z37" s="65"/>
    </x:row>
    <x:row r="38">
      <x:c r="A38" s="65"/>
      <x:c r="B38" s="65"/>
      <x:c r="C38" s="65"/>
      <x:c r="D38" s="65"/>
      <x:c r="E38" s="65"/>
      <x:c r="F38" s="65"/>
      <x:c r="G38" s="65"/>
      <x:c r="H38" s="65"/>
      <x:c r="I38" s="65"/>
      <x:c r="J38" s="65"/>
      <x:c r="K38" s="65"/>
      <x:c r="L38" s="65"/>
      <x:c r="M38" s="65"/>
      <x:c r="N38" s="65"/>
      <x:c r="O38" s="65"/>
      <x:c r="P38" s="65"/>
      <x:c r="Q38" s="65"/>
      <x:c r="R38" s="65"/>
      <x:c r="S38" s="65"/>
      <x:c r="T38" s="65"/>
      <x:c r="U38" s="65"/>
      <x:c r="V38" s="65"/>
      <x:c r="W38" s="65"/>
      <x:c r="X38" s="65"/>
      <x:c r="Y38" s="65"/>
      <x:c r="Z38" s="65"/>
    </x:row>
    <x:row r="39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  <x:c r="P39" s="65"/>
      <x:c r="Q39" s="65"/>
      <x:c r="R39" s="65"/>
      <x:c r="S39" s="65"/>
      <x:c r="T39" s="65"/>
      <x:c r="U39" s="65"/>
      <x:c r="V39" s="65"/>
      <x:c r="W39" s="65"/>
      <x:c r="X39" s="65"/>
      <x:c r="Y39" s="65"/>
      <x:c r="Z39" s="65"/>
    </x:row>
    <x:row r="40">
      <x:c r="A40" s="65"/>
      <x:c r="B40" s="65"/>
      <x:c r="C40" s="65"/>
      <x:c r="D40" s="65"/>
      <x:c r="E40" s="65"/>
      <x:c r="F40" s="65"/>
      <x:c r="G40" s="65"/>
      <x:c r="H40" s="65"/>
      <x:c r="I40" s="65"/>
      <x:c r="J40" s="65"/>
      <x:c r="K40" s="65"/>
      <x:c r="L40" s="65"/>
      <x:c r="M40" s="65"/>
      <x:c r="N40" s="65"/>
      <x:c r="O40" s="65"/>
      <x:c r="P40" s="65"/>
      <x:c r="Q40" s="65"/>
      <x:c r="R40" s="65"/>
      <x:c r="S40" s="65"/>
      <x:c r="T40" s="65"/>
      <x:c r="U40" s="65"/>
      <x:c r="V40" s="65"/>
      <x:c r="W40" s="65"/>
      <x:c r="X40" s="65"/>
      <x:c r="Y40" s="65"/>
      <x:c r="Z40" s="65"/>
    </x:row>
    <x:row r="41">
      <x:c r="A41" s="65"/>
      <x:c r="B41" s="65"/>
      <x:c r="C41" s="65"/>
      <x:c r="D41" s="65"/>
      <x:c r="E41" s="65"/>
      <x:c r="F41" s="65"/>
      <x:c r="G41" s="65"/>
      <x:c r="H41" s="65"/>
      <x:c r="I41" s="65"/>
      <x:c r="J41" s="65"/>
      <x:c r="K41" s="65"/>
      <x:c r="L41" s="65"/>
      <x:c r="M41" s="65"/>
      <x:c r="N41" s="65"/>
      <x:c r="O41" s="65"/>
      <x:c r="P41" s="65"/>
      <x:c r="Q41" s="65"/>
      <x:c r="R41" s="65"/>
      <x:c r="S41" s="65"/>
      <x:c r="T41" s="65"/>
      <x:c r="U41" s="65"/>
      <x:c r="V41" s="65"/>
      <x:c r="W41" s="65"/>
      <x:c r="X41" s="65"/>
      <x:c r="Y41" s="65"/>
      <x:c r="Z41" s="65"/>
    </x:row>
    <x:row r="42">
      <x:c r="A42" s="65"/>
      <x:c r="B42" s="65"/>
      <x:c r="C42" s="65"/>
      <x:c r="D42" s="65"/>
      <x:c r="E42" s="65"/>
      <x:c r="F42" s="65"/>
      <x:c r="G42" s="65"/>
      <x:c r="H42" s="65"/>
      <x:c r="I42" s="65"/>
      <x:c r="J42" s="65"/>
      <x:c r="K42" s="65"/>
      <x:c r="L42" s="65"/>
      <x:c r="M42" s="65"/>
      <x:c r="N42" s="65"/>
      <x:c r="O42" s="65"/>
      <x:c r="P42" s="65"/>
      <x:c r="Q42" s="65"/>
      <x:c r="R42" s="65"/>
      <x:c r="S42" s="65"/>
      <x:c r="T42" s="65"/>
      <x:c r="U42" s="65"/>
      <x:c r="V42" s="65"/>
      <x:c r="W42" s="65"/>
      <x:c r="X42" s="65"/>
      <x:c r="Y42" s="65"/>
      <x:c r="Z42" s="65"/>
    </x:row>
    <x:row r="43">
      <x:c r="A43" s="65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5"/>
      <x:c r="M43" s="65"/>
      <x:c r="N43" s="65"/>
      <x:c r="O43" s="65"/>
      <x:c r="P43" s="65"/>
      <x:c r="Q43" s="65"/>
      <x:c r="R43" s="65"/>
      <x:c r="S43" s="65"/>
      <x:c r="T43" s="65"/>
      <x:c r="U43" s="65"/>
      <x:c r="V43" s="65"/>
      <x:c r="W43" s="65"/>
      <x:c r="X43" s="65"/>
      <x:c r="Y43" s="65"/>
      <x:c r="Z43" s="65"/>
    </x:row>
    <x:row r="44">
      <x:c r="A44" s="65"/>
      <x:c r="B44" s="65"/>
      <x:c r="C44" s="65"/>
      <x:c r="D44" s="65"/>
      <x:c r="E44" s="65"/>
      <x:c r="F44" s="65"/>
      <x:c r="G44" s="65"/>
      <x:c r="H44" s="65"/>
      <x:c r="I44" s="65"/>
      <x:c r="J44" s="65"/>
      <x:c r="K44" s="65"/>
      <x:c r="L44" s="65"/>
      <x:c r="M44" s="65"/>
      <x:c r="N44" s="65"/>
      <x:c r="O44" s="65"/>
      <x:c r="P44" s="65"/>
      <x:c r="Q44" s="65"/>
      <x:c r="R44" s="65"/>
      <x:c r="S44" s="65"/>
      <x:c r="T44" s="65"/>
      <x:c r="U44" s="65"/>
      <x:c r="V44" s="65"/>
      <x:c r="W44" s="65"/>
      <x:c r="X44" s="65"/>
      <x:c r="Y44" s="65"/>
      <x:c r="Z44" s="65"/>
    </x:row>
    <x:row r="45">
      <x:c r="A45" s="65"/>
      <x:c r="B45" s="65"/>
      <x:c r="C45" s="65"/>
      <x:c r="D45" s="65"/>
      <x:c r="E45" s="65"/>
      <x:c r="F45" s="65"/>
      <x:c r="G45" s="65"/>
      <x:c r="H45" s="65"/>
      <x:c r="I45" s="65"/>
      <x:c r="J45" s="65"/>
      <x:c r="K45" s="65"/>
      <x:c r="L45" s="65"/>
      <x:c r="M45" s="65"/>
      <x:c r="N45" s="65"/>
      <x:c r="O45" s="65"/>
      <x:c r="P45" s="65"/>
      <x:c r="Q45" s="65"/>
      <x:c r="R45" s="65"/>
      <x:c r="S45" s="65"/>
      <x:c r="T45" s="65"/>
      <x:c r="U45" s="65"/>
      <x:c r="V45" s="65"/>
      <x:c r="W45" s="65"/>
      <x:c r="X45" s="65"/>
      <x:c r="Y45" s="65"/>
      <x:c r="Z45" s="65"/>
    </x:row>
    <x:row r="46">
      <x:c r="A46" s="65"/>
      <x:c r="B46" s="65"/>
      <x:c r="C46" s="65"/>
      <x:c r="D46" s="65"/>
      <x:c r="E46" s="65"/>
      <x:c r="F46" s="65"/>
      <x:c r="G46" s="65"/>
      <x:c r="H46" s="65"/>
      <x:c r="I46" s="65"/>
      <x:c r="J46" s="65"/>
      <x:c r="K46" s="65"/>
      <x:c r="L46" s="65"/>
      <x:c r="M46" s="65"/>
      <x:c r="N46" s="65"/>
      <x:c r="O46" s="65"/>
      <x:c r="P46" s="65"/>
      <x:c r="Q46" s="65"/>
      <x:c r="R46" s="65"/>
      <x:c r="S46" s="65"/>
      <x:c r="T46" s="65"/>
      <x:c r="U46" s="65"/>
      <x:c r="V46" s="65"/>
      <x:c r="W46" s="65"/>
      <x:c r="X46" s="65"/>
      <x:c r="Y46" s="65"/>
      <x:c r="Z46" s="65"/>
    </x:row>
    <x:row r="47">
      <x:c r="A47" s="65"/>
      <x:c r="B47" s="65"/>
      <x:c r="C47" s="65"/>
      <x:c r="D47" s="65"/>
      <x:c r="E47" s="65"/>
      <x:c r="F47" s="65"/>
      <x:c r="G47" s="65"/>
      <x:c r="H47" s="65"/>
      <x:c r="I47" s="65"/>
      <x:c r="J47" s="65"/>
      <x:c r="K47" s="65"/>
      <x:c r="L47" s="65"/>
      <x:c r="M47" s="65"/>
      <x:c r="N47" s="65"/>
      <x:c r="O47" s="65"/>
      <x:c r="P47" s="65"/>
      <x:c r="Q47" s="65"/>
      <x:c r="R47" s="65"/>
      <x:c r="S47" s="65"/>
      <x:c r="T47" s="65"/>
      <x:c r="U47" s="65"/>
      <x:c r="V47" s="65"/>
      <x:c r="W47" s="65"/>
      <x:c r="X47" s="65"/>
      <x:c r="Y47" s="65"/>
      <x:c r="Z47" s="65"/>
    </x:row>
    <x:row r="48">
      <x:c r="A48" s="65"/>
      <x:c r="B48" s="65"/>
      <x:c r="C48" s="65"/>
      <x:c r="D48" s="65"/>
      <x:c r="E48" s="65"/>
      <x:c r="F48" s="65"/>
      <x:c r="G48" s="65"/>
      <x:c r="H48" s="65"/>
      <x:c r="I48" s="65"/>
      <x:c r="J48" s="65"/>
      <x:c r="K48" s="65"/>
      <x:c r="L48" s="65"/>
      <x:c r="M48" s="65"/>
      <x:c r="N48" s="65"/>
      <x:c r="O48" s="65"/>
      <x:c r="P48" s="65"/>
      <x:c r="Q48" s="65"/>
      <x:c r="R48" s="65"/>
      <x:c r="S48" s="65"/>
      <x:c r="T48" s="65"/>
      <x:c r="U48" s="65"/>
      <x:c r="V48" s="65"/>
      <x:c r="W48" s="65"/>
      <x:c r="X48" s="65"/>
      <x:c r="Y48" s="65"/>
      <x:c r="Z48" s="65"/>
    </x:row>
    <x:row r="49">
      <x:c r="A49" s="65"/>
      <x:c r="B49" s="65"/>
      <x:c r="C49" s="65"/>
      <x:c r="D49" s="65"/>
      <x:c r="E49" s="65"/>
      <x:c r="F49" s="65"/>
      <x:c r="G49" s="65"/>
      <x:c r="H49" s="65"/>
      <x:c r="I49" s="65"/>
      <x:c r="J49" s="65"/>
      <x:c r="K49" s="65"/>
      <x:c r="L49" s="65"/>
      <x:c r="M49" s="65"/>
      <x:c r="N49" s="65"/>
      <x:c r="O49" s="65"/>
      <x:c r="P49" s="65"/>
      <x:c r="Q49" s="65"/>
      <x:c r="R49" s="65"/>
      <x:c r="S49" s="65"/>
      <x:c r="T49" s="65"/>
      <x:c r="U49" s="65"/>
      <x:c r="V49" s="65"/>
      <x:c r="W49" s="65"/>
      <x:c r="X49" s="65"/>
      <x:c r="Y49" s="65"/>
      <x:c r="Z49" s="65"/>
    </x:row>
    <x:row r="50">
      <x:c r="A50" s="65"/>
      <x:c r="B50" s="65"/>
      <x:c r="C50" s="65"/>
      <x:c r="D50" s="65"/>
      <x:c r="E50" s="65"/>
      <x:c r="F50" s="65"/>
      <x:c r="G50" s="65"/>
      <x:c r="H50" s="65"/>
      <x:c r="I50" s="65"/>
      <x:c r="J50" s="65"/>
      <x:c r="K50" s="65"/>
      <x:c r="L50" s="65"/>
      <x:c r="M50" s="65"/>
      <x:c r="N50" s="65"/>
      <x:c r="O50" s="65"/>
      <x:c r="P50" s="65"/>
      <x:c r="Q50" s="65"/>
      <x:c r="R50" s="65"/>
      <x:c r="S50" s="65"/>
      <x:c r="T50" s="65"/>
      <x:c r="U50" s="65"/>
      <x:c r="V50" s="65"/>
      <x:c r="W50" s="65"/>
      <x:c r="X50" s="65"/>
      <x:c r="Y50" s="65"/>
      <x:c r="Z50" s="65"/>
    </x:row>
    <x:row r="51">
      <x:c r="A51" s="65"/>
      <x:c r="B51" s="65"/>
      <x:c r="C51" s="65"/>
      <x:c r="D51" s="65"/>
      <x:c r="E51" s="65"/>
      <x:c r="F51" s="65"/>
      <x:c r="G51" s="65"/>
      <x:c r="H51" s="65"/>
      <x:c r="I51" s="65"/>
      <x:c r="J51" s="65"/>
      <x:c r="K51" s="65"/>
      <x:c r="L51" s="65"/>
      <x:c r="M51" s="65"/>
      <x:c r="N51" s="65"/>
      <x:c r="O51" s="65"/>
      <x:c r="P51" s="65"/>
      <x:c r="Q51" s="65"/>
      <x:c r="R51" s="65"/>
      <x:c r="S51" s="65"/>
      <x:c r="T51" s="65"/>
      <x:c r="U51" s="65"/>
      <x:c r="V51" s="65"/>
      <x:c r="W51" s="65"/>
      <x:c r="X51" s="65"/>
      <x:c r="Y51" s="65"/>
      <x:c r="Z51" s="65"/>
    </x:row>
    <x:row r="52">
      <x:c r="A52" s="65"/>
      <x:c r="B52" s="65"/>
      <x:c r="C52" s="65"/>
      <x:c r="D52" s="65"/>
      <x:c r="E52" s="65"/>
      <x:c r="F52" s="65"/>
      <x:c r="G52" s="65"/>
      <x:c r="H52" s="65"/>
      <x:c r="I52" s="65"/>
      <x:c r="J52" s="65"/>
      <x:c r="K52" s="65"/>
      <x:c r="L52" s="65"/>
      <x:c r="M52" s="65"/>
      <x:c r="N52" s="65"/>
      <x:c r="O52" s="65"/>
      <x:c r="P52" s="65"/>
      <x:c r="Q52" s="65"/>
      <x:c r="R52" s="65"/>
      <x:c r="S52" s="65"/>
      <x:c r="T52" s="65"/>
      <x:c r="U52" s="65"/>
      <x:c r="V52" s="65"/>
      <x:c r="W52" s="65"/>
      <x:c r="X52" s="65"/>
      <x:c r="Y52" s="65"/>
      <x:c r="Z52" s="65"/>
    </x:row>
    <x:row r="53">
      <x:c r="A53" s="65"/>
      <x:c r="B53" s="65"/>
      <x:c r="C53" s="65"/>
      <x:c r="D53" s="65"/>
      <x:c r="E53" s="65"/>
      <x:c r="F53" s="65"/>
      <x:c r="G53" s="65"/>
      <x:c r="H53" s="65"/>
      <x:c r="I53" s="65"/>
      <x:c r="J53" s="65"/>
      <x:c r="K53" s="65"/>
      <x:c r="L53" s="65"/>
      <x:c r="M53" s="65"/>
      <x:c r="N53" s="65"/>
      <x:c r="O53" s="65"/>
      <x:c r="P53" s="65"/>
      <x:c r="Q53" s="65"/>
      <x:c r="R53" s="65"/>
      <x:c r="S53" s="65"/>
      <x:c r="T53" s="65"/>
      <x:c r="U53" s="65"/>
      <x:c r="V53" s="65"/>
      <x:c r="W53" s="65"/>
      <x:c r="X53" s="65"/>
      <x:c r="Y53" s="65"/>
      <x:c r="Z53" s="65"/>
    </x:row>
    <x:row r="54">
      <x:c r="A54" s="65"/>
      <x:c r="B54" s="65"/>
      <x:c r="C54" s="65"/>
      <x:c r="D54" s="65"/>
      <x:c r="E54" s="65"/>
      <x:c r="F54" s="65"/>
      <x:c r="G54" s="65"/>
      <x:c r="H54" s="65"/>
      <x:c r="I54" s="65"/>
      <x:c r="J54" s="65"/>
      <x:c r="K54" s="65"/>
      <x:c r="L54" s="65"/>
      <x:c r="M54" s="65"/>
      <x:c r="N54" s="65"/>
      <x:c r="O54" s="65"/>
      <x:c r="P54" s="65"/>
      <x:c r="Q54" s="65"/>
      <x:c r="R54" s="65"/>
      <x:c r="S54" s="65"/>
      <x:c r="T54" s="65"/>
      <x:c r="U54" s="65"/>
      <x:c r="V54" s="65"/>
      <x:c r="W54" s="65"/>
      <x:c r="X54" s="65"/>
      <x:c r="Y54" s="65"/>
      <x:c r="Z54" s="65"/>
    </x:row>
    <x:row r="55">
      <x:c r="A55" s="65"/>
      <x:c r="B55" s="65"/>
      <x:c r="C55" s="65"/>
      <x:c r="D55" s="65"/>
      <x:c r="E55" s="65"/>
      <x:c r="F55" s="65"/>
      <x:c r="G55" s="65"/>
      <x:c r="H55" s="65"/>
      <x:c r="I55" s="65"/>
      <x:c r="J55" s="65"/>
      <x:c r="K55" s="65"/>
      <x:c r="L55" s="65"/>
      <x:c r="M55" s="65"/>
      <x:c r="N55" s="65"/>
      <x:c r="O55" s="65"/>
      <x:c r="P55" s="65"/>
      <x:c r="Q55" s="65"/>
      <x:c r="R55" s="65"/>
      <x:c r="S55" s="65"/>
      <x:c r="T55" s="65"/>
      <x:c r="U55" s="65"/>
      <x:c r="V55" s="65"/>
      <x:c r="W55" s="65"/>
      <x:c r="X55" s="65"/>
      <x:c r="Y55" s="65"/>
      <x:c r="Z55" s="65"/>
    </x:row>
    <x:row r="56">
      <x:c r="A56" s="65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5"/>
      <x:c r="M56" s="65"/>
      <x:c r="N56" s="65"/>
      <x:c r="O56" s="65"/>
      <x:c r="P56" s="65"/>
      <x:c r="Q56" s="65"/>
      <x:c r="R56" s="65"/>
      <x:c r="S56" s="65"/>
      <x:c r="T56" s="65"/>
      <x:c r="U56" s="65"/>
      <x:c r="V56" s="65"/>
      <x:c r="W56" s="65"/>
      <x:c r="X56" s="65"/>
      <x:c r="Y56" s="65"/>
      <x:c r="Z56" s="65"/>
    </x:row>
    <x:row r="57">
      <x:c r="A57" s="65"/>
      <x:c r="B57" s="65"/>
      <x:c r="C57" s="65"/>
      <x:c r="D57" s="65"/>
      <x:c r="E57" s="65"/>
      <x:c r="F57" s="65"/>
      <x:c r="G57" s="65"/>
      <x:c r="H57" s="65"/>
      <x:c r="I57" s="65"/>
      <x:c r="J57" s="65"/>
      <x:c r="K57" s="65"/>
      <x:c r="L57" s="65"/>
      <x:c r="M57" s="65"/>
      <x:c r="N57" s="65"/>
      <x:c r="O57" s="65"/>
      <x:c r="P57" s="65"/>
      <x:c r="Q57" s="65"/>
      <x:c r="R57" s="65"/>
      <x:c r="S57" s="65"/>
      <x:c r="T57" s="65"/>
      <x:c r="U57" s="65"/>
      <x:c r="V57" s="65"/>
      <x:c r="W57" s="65"/>
      <x:c r="X57" s="65"/>
      <x:c r="Y57" s="65"/>
      <x:c r="Z57" s="65"/>
    </x:row>
    <x:row r="58">
      <x:c r="A58" s="65"/>
      <x:c r="B58" s="65"/>
      <x:c r="C58" s="65"/>
      <x:c r="D58" s="65"/>
      <x:c r="E58" s="65"/>
      <x:c r="F58" s="65"/>
      <x:c r="G58" s="65"/>
      <x:c r="H58" s="65"/>
      <x:c r="I58" s="65"/>
      <x:c r="J58" s="65"/>
      <x:c r="K58" s="65"/>
      <x:c r="L58" s="65"/>
      <x:c r="M58" s="65"/>
      <x:c r="N58" s="65"/>
      <x:c r="O58" s="65"/>
      <x:c r="P58" s="65"/>
      <x:c r="Q58" s="65"/>
      <x:c r="R58" s="65"/>
      <x:c r="S58" s="65"/>
      <x:c r="T58" s="65"/>
      <x:c r="U58" s="65"/>
      <x:c r="V58" s="65"/>
      <x:c r="W58" s="65"/>
      <x:c r="X58" s="65"/>
      <x:c r="Y58" s="65"/>
      <x:c r="Z58" s="65"/>
    </x:row>
    <x:row r="59">
      <x:c r="A59" s="65"/>
      <x:c r="B59" s="65"/>
      <x:c r="C59" s="65"/>
      <x:c r="D59" s="65"/>
      <x:c r="E59" s="65"/>
      <x:c r="F59" s="65"/>
      <x:c r="G59" s="65"/>
      <x:c r="H59" s="65"/>
      <x:c r="I59" s="65"/>
      <x:c r="J59" s="65"/>
      <x:c r="K59" s="65"/>
      <x:c r="L59" s="65"/>
      <x:c r="M59" s="65"/>
      <x:c r="N59" s="65"/>
      <x:c r="O59" s="65"/>
      <x:c r="P59" s="65"/>
      <x:c r="Q59" s="65"/>
      <x:c r="R59" s="65"/>
      <x:c r="S59" s="65"/>
      <x:c r="T59" s="65"/>
      <x:c r="U59" s="65"/>
      <x:c r="V59" s="65"/>
      <x:c r="W59" s="65"/>
      <x:c r="X59" s="65"/>
      <x:c r="Y59" s="65"/>
      <x:c r="Z59" s="65"/>
    </x:row>
    <x:row r="60">
      <x:c r="A60" s="65"/>
      <x:c r="B60" s="65"/>
      <x:c r="C60" s="65"/>
      <x:c r="D60" s="65"/>
      <x:c r="E60" s="65"/>
      <x:c r="F60" s="65"/>
      <x:c r="G60" s="65"/>
      <x:c r="H60" s="65"/>
      <x:c r="I60" s="65"/>
      <x:c r="J60" s="65"/>
      <x:c r="K60" s="65"/>
      <x:c r="L60" s="65"/>
      <x:c r="M60" s="65"/>
      <x:c r="N60" s="65"/>
      <x:c r="O60" s="65"/>
      <x:c r="P60" s="65"/>
      <x:c r="Q60" s="65"/>
      <x:c r="R60" s="65"/>
      <x:c r="S60" s="65"/>
      <x:c r="T60" s="65"/>
      <x:c r="U60" s="65"/>
      <x:c r="V60" s="65"/>
      <x:c r="W60" s="65"/>
      <x:c r="X60" s="65"/>
      <x:c r="Y60" s="65"/>
      <x:c r="Z60" s="65"/>
    </x:row>
    <x:row r="61">
      <x:c r="A61" s="65"/>
      <x:c r="B61" s="65"/>
      <x:c r="C61" s="65"/>
      <x:c r="D61" s="65"/>
      <x:c r="E61" s="65"/>
      <x:c r="F61" s="65"/>
      <x:c r="G61" s="65"/>
      <x:c r="H61" s="65"/>
      <x:c r="I61" s="65"/>
      <x:c r="J61" s="65"/>
      <x:c r="K61" s="65"/>
      <x:c r="L61" s="65"/>
      <x:c r="M61" s="65"/>
      <x:c r="N61" s="65"/>
      <x:c r="O61" s="65"/>
      <x:c r="P61" s="65"/>
      <x:c r="Q61" s="65"/>
      <x:c r="R61" s="65"/>
      <x:c r="S61" s="65"/>
      <x:c r="T61" s="65"/>
      <x:c r="U61" s="65"/>
      <x:c r="V61" s="65"/>
      <x:c r="W61" s="65"/>
      <x:c r="X61" s="65"/>
      <x:c r="Y61" s="65"/>
      <x:c r="Z61" s="65"/>
    </x:row>
    <x:row r="62">
      <x:c r="A62" s="65"/>
      <x:c r="B62" s="65"/>
      <x:c r="C62" s="65"/>
      <x:c r="D62" s="65"/>
      <x:c r="E62" s="65"/>
      <x:c r="F62" s="65"/>
      <x:c r="G62" s="65"/>
      <x:c r="H62" s="65"/>
      <x:c r="I62" s="65"/>
      <x:c r="J62" s="65"/>
      <x:c r="K62" s="65"/>
      <x:c r="L62" s="65"/>
      <x:c r="M62" s="65"/>
      <x:c r="N62" s="65"/>
      <x:c r="O62" s="65"/>
      <x:c r="P62" s="65"/>
      <x:c r="Q62" s="65"/>
      <x:c r="R62" s="65"/>
      <x:c r="S62" s="65"/>
      <x:c r="T62" s="65"/>
      <x:c r="U62" s="65"/>
      <x:c r="V62" s="65"/>
      <x:c r="W62" s="65"/>
      <x:c r="X62" s="65"/>
      <x:c r="Y62" s="65"/>
      <x:c r="Z62" s="65"/>
    </x:row>
    <x:row r="63">
      <x:c r="A63" s="65"/>
      <x:c r="B63" s="65"/>
      <x:c r="C63" s="65"/>
      <x:c r="D63" s="65"/>
      <x:c r="E63" s="65"/>
      <x:c r="F63" s="65"/>
      <x:c r="G63" s="65"/>
      <x:c r="H63" s="65"/>
      <x:c r="I63" s="65"/>
      <x:c r="J63" s="65"/>
      <x:c r="K63" s="65"/>
      <x:c r="L63" s="65"/>
      <x:c r="M63" s="65"/>
      <x:c r="N63" s="65"/>
      <x:c r="O63" s="65"/>
      <x:c r="P63" s="65"/>
      <x:c r="Q63" s="65"/>
      <x:c r="R63" s="65"/>
      <x:c r="S63" s="65"/>
      <x:c r="T63" s="65"/>
      <x:c r="U63" s="65"/>
      <x:c r="V63" s="65"/>
      <x:c r="W63" s="65"/>
      <x:c r="X63" s="65"/>
      <x:c r="Y63" s="65"/>
      <x:c r="Z63" s="65"/>
    </x:row>
    <x:row r="64">
      <x:c r="A64" s="65"/>
      <x:c r="B64" s="65"/>
      <x:c r="C64" s="65"/>
      <x:c r="D64" s="65"/>
      <x:c r="E64" s="65"/>
      <x:c r="F64" s="65"/>
      <x:c r="G64" s="65"/>
      <x:c r="H64" s="65"/>
      <x:c r="I64" s="65"/>
      <x:c r="J64" s="65"/>
      <x:c r="K64" s="65"/>
      <x:c r="L64" s="65"/>
      <x:c r="M64" s="65"/>
      <x:c r="N64" s="65"/>
      <x:c r="O64" s="65"/>
      <x:c r="P64" s="65"/>
      <x:c r="Q64" s="65"/>
      <x:c r="R64" s="65"/>
      <x:c r="S64" s="65"/>
      <x:c r="T64" s="65"/>
      <x:c r="U64" s="65"/>
      <x:c r="V64" s="65"/>
      <x:c r="W64" s="65"/>
      <x:c r="X64" s="65"/>
      <x:c r="Y64" s="65"/>
      <x:c r="Z64" s="65"/>
    </x:row>
    <x:row r="65">
      <x:c r="A65" s="65"/>
      <x:c r="B65" s="65"/>
      <x:c r="C65" s="65"/>
      <x:c r="D65" s="65"/>
      <x:c r="E65" s="65"/>
      <x:c r="F65" s="65"/>
      <x:c r="G65" s="65"/>
      <x:c r="H65" s="65"/>
      <x:c r="I65" s="65"/>
      <x:c r="J65" s="65"/>
      <x:c r="K65" s="65"/>
      <x:c r="L65" s="65"/>
      <x:c r="M65" s="65"/>
      <x:c r="N65" s="65"/>
      <x:c r="O65" s="65"/>
      <x:c r="P65" s="65"/>
      <x:c r="Q65" s="65"/>
      <x:c r="R65" s="65"/>
      <x:c r="S65" s="65"/>
      <x:c r="T65" s="65"/>
      <x:c r="U65" s="65"/>
      <x:c r="V65" s="65"/>
      <x:c r="W65" s="65"/>
      <x:c r="X65" s="65"/>
      <x:c r="Y65" s="65"/>
      <x:c r="Z65" s="65"/>
    </x:row>
    <x:row r="66">
      <x:c r="A66" s="65"/>
      <x:c r="B66" s="65"/>
      <x:c r="C66" s="65"/>
      <x:c r="D66" s="65"/>
      <x:c r="E66" s="65"/>
      <x:c r="F66" s="65"/>
      <x:c r="G66" s="65"/>
      <x:c r="H66" s="65"/>
      <x:c r="I66" s="65"/>
      <x:c r="J66" s="65"/>
      <x:c r="K66" s="65"/>
      <x:c r="L66" s="65"/>
      <x:c r="M66" s="65"/>
      <x:c r="N66" s="65"/>
      <x:c r="O66" s="65"/>
      <x:c r="P66" s="65"/>
      <x:c r="Q66" s="65"/>
      <x:c r="R66" s="65"/>
      <x:c r="S66" s="65"/>
      <x:c r="T66" s="65"/>
      <x:c r="U66" s="65"/>
      <x:c r="V66" s="65"/>
      <x:c r="W66" s="65"/>
      <x:c r="X66" s="65"/>
      <x:c r="Y66" s="65"/>
      <x:c r="Z66" s="65"/>
    </x:row>
    <x:row r="67">
      <x:c r="A67" s="65"/>
      <x:c r="B67" s="65"/>
      <x:c r="C67" s="65"/>
      <x:c r="D67" s="65"/>
      <x:c r="E67" s="65"/>
      <x:c r="F67" s="65"/>
      <x:c r="G67" s="65"/>
      <x:c r="H67" s="65"/>
      <x:c r="I67" s="65"/>
      <x:c r="J67" s="65"/>
      <x:c r="K67" s="65"/>
      <x:c r="L67" s="65"/>
      <x:c r="M67" s="65"/>
      <x:c r="N67" s="65"/>
      <x:c r="O67" s="65"/>
      <x:c r="P67" s="65"/>
      <x:c r="Q67" s="65"/>
      <x:c r="R67" s="65"/>
      <x:c r="S67" s="65"/>
      <x:c r="T67" s="65"/>
      <x:c r="U67" s="65"/>
      <x:c r="V67" s="65"/>
      <x:c r="W67" s="65"/>
      <x:c r="X67" s="65"/>
      <x:c r="Y67" s="65"/>
      <x:c r="Z67" s="65"/>
    </x:row>
    <x:row r="68">
      <x:c r="A68" s="65"/>
      <x:c r="B68" s="65"/>
      <x:c r="C68" s="65"/>
      <x:c r="D68" s="65"/>
      <x:c r="E68" s="65"/>
      <x:c r="F68" s="65"/>
      <x:c r="G68" s="65"/>
      <x:c r="H68" s="65"/>
      <x:c r="I68" s="65"/>
      <x:c r="J68" s="65"/>
      <x:c r="K68" s="65"/>
      <x:c r="L68" s="65"/>
      <x:c r="M68" s="65"/>
      <x:c r="N68" s="65"/>
      <x:c r="O68" s="65"/>
      <x:c r="P68" s="65"/>
      <x:c r="Q68" s="65"/>
      <x:c r="R68" s="65"/>
      <x:c r="S68" s="65"/>
      <x:c r="T68" s="65"/>
      <x:c r="U68" s="65"/>
      <x:c r="V68" s="65"/>
      <x:c r="W68" s="65"/>
      <x:c r="X68" s="65"/>
      <x:c r="Y68" s="65"/>
      <x:c r="Z68" s="65"/>
    </x:row>
    <x:row r="69">
      <x:c r="A69" s="65"/>
      <x:c r="B69" s="65"/>
      <x:c r="C69" s="65"/>
      <x:c r="D69" s="65"/>
      <x:c r="E69" s="65"/>
      <x:c r="F69" s="65"/>
      <x:c r="G69" s="65"/>
      <x:c r="H69" s="65"/>
      <x:c r="I69" s="65"/>
      <x:c r="J69" s="65"/>
      <x:c r="K69" s="65"/>
      <x:c r="L69" s="65"/>
      <x:c r="M69" s="65"/>
      <x:c r="N69" s="65"/>
      <x:c r="O69" s="65"/>
      <x:c r="P69" s="65"/>
      <x:c r="Q69" s="65"/>
      <x:c r="R69" s="65"/>
      <x:c r="S69" s="65"/>
      <x:c r="T69" s="65"/>
      <x:c r="U69" s="65"/>
      <x:c r="V69" s="65"/>
      <x:c r="W69" s="65"/>
      <x:c r="X69" s="65"/>
      <x:c r="Y69" s="65"/>
      <x:c r="Z69" s="65"/>
    </x:row>
    <x:row r="70">
      <x:c r="A70" s="65"/>
      <x:c r="B70" s="65"/>
      <x:c r="C70" s="65"/>
      <x:c r="D70" s="65"/>
      <x:c r="E70" s="65"/>
      <x:c r="F70" s="65"/>
      <x:c r="G70" s="65"/>
      <x:c r="H70" s="65"/>
      <x:c r="I70" s="65"/>
      <x:c r="J70" s="65"/>
      <x:c r="K70" s="65"/>
      <x:c r="L70" s="65"/>
      <x:c r="M70" s="65"/>
      <x:c r="N70" s="65"/>
      <x:c r="O70" s="65"/>
      <x:c r="P70" s="65"/>
      <x:c r="Q70" s="65"/>
      <x:c r="R70" s="65"/>
      <x:c r="S70" s="65"/>
      <x:c r="T70" s="65"/>
      <x:c r="U70" s="65"/>
      <x:c r="V70" s="65"/>
      <x:c r="W70" s="65"/>
      <x:c r="X70" s="65"/>
      <x:c r="Y70" s="65"/>
      <x:c r="Z70" s="65"/>
    </x:row>
    <x:row r="71">
      <x:c r="A71" s="65"/>
      <x:c r="B71" s="65"/>
      <x:c r="C71" s="65"/>
      <x:c r="D71" s="65"/>
      <x:c r="E71" s="65"/>
      <x:c r="F71" s="65"/>
      <x:c r="G71" s="65"/>
      <x:c r="H71" s="65"/>
      <x:c r="I71" s="65"/>
      <x:c r="J71" s="65"/>
      <x:c r="K71" s="65"/>
      <x:c r="L71" s="65"/>
      <x:c r="M71" s="65"/>
      <x:c r="N71" s="65"/>
      <x:c r="O71" s="65"/>
      <x:c r="P71" s="65"/>
      <x:c r="Q71" s="65"/>
      <x:c r="R71" s="65"/>
      <x:c r="S71" s="65"/>
      <x:c r="T71" s="65"/>
      <x:c r="U71" s="65"/>
      <x:c r="V71" s="65"/>
      <x:c r="W71" s="65"/>
      <x:c r="X71" s="65"/>
      <x:c r="Y71" s="65"/>
      <x:c r="Z71" s="65"/>
    </x:row>
    <x:row r="72">
      <x:c r="A72" s="65"/>
      <x:c r="B72" s="65"/>
      <x:c r="C72" s="65"/>
      <x:c r="D72" s="65"/>
      <x:c r="E72" s="65"/>
      <x:c r="F72" s="65"/>
      <x:c r="G72" s="65"/>
      <x:c r="H72" s="65"/>
      <x:c r="I72" s="65"/>
      <x:c r="J72" s="65"/>
      <x:c r="K72" s="65"/>
      <x:c r="L72" s="65"/>
      <x:c r="M72" s="65"/>
      <x:c r="N72" s="65"/>
      <x:c r="O72" s="65"/>
      <x:c r="P72" s="65"/>
      <x:c r="Q72" s="65"/>
      <x:c r="R72" s="65"/>
      <x:c r="S72" s="65"/>
      <x:c r="T72" s="65"/>
      <x:c r="U72" s="65"/>
      <x:c r="V72" s="65"/>
      <x:c r="W72" s="65"/>
      <x:c r="X72" s="65"/>
      <x:c r="Y72" s="65"/>
      <x:c r="Z72" s="65"/>
    </x:row>
    <x:row r="73">
      <x:c r="A73" s="65"/>
      <x:c r="B73" s="65"/>
      <x:c r="C73" s="65"/>
      <x:c r="D73" s="65"/>
      <x:c r="E73" s="65"/>
      <x:c r="F73" s="65"/>
      <x:c r="G73" s="65"/>
      <x:c r="H73" s="65"/>
      <x:c r="I73" s="65"/>
      <x:c r="J73" s="65"/>
      <x:c r="K73" s="65"/>
      <x:c r="L73" s="65"/>
      <x:c r="M73" s="65"/>
      <x:c r="N73" s="65"/>
      <x:c r="O73" s="65"/>
      <x:c r="P73" s="65"/>
      <x:c r="Q73" s="65"/>
      <x:c r="R73" s="65"/>
      <x:c r="S73" s="65"/>
      <x:c r="T73" s="65"/>
      <x:c r="U73" s="65"/>
      <x:c r="V73" s="65"/>
      <x:c r="W73" s="65"/>
      <x:c r="X73" s="65"/>
      <x:c r="Y73" s="65"/>
      <x:c r="Z73" s="65"/>
    </x:row>
    <x:row r="74">
      <x:c r="A74" s="65"/>
      <x:c r="B74" s="65"/>
      <x:c r="C74" s="65"/>
      <x:c r="D74" s="65"/>
      <x:c r="E74" s="65"/>
      <x:c r="F74" s="65"/>
      <x:c r="G74" s="65"/>
      <x:c r="H74" s="65"/>
      <x:c r="I74" s="65"/>
      <x:c r="J74" s="65"/>
      <x:c r="K74" s="65"/>
      <x:c r="L74" s="65"/>
      <x:c r="M74" s="65"/>
      <x:c r="N74" s="65"/>
      <x:c r="O74" s="65"/>
      <x:c r="P74" s="65"/>
      <x:c r="Q74" s="65"/>
      <x:c r="R74" s="65"/>
      <x:c r="S74" s="65"/>
      <x:c r="T74" s="65"/>
      <x:c r="U74" s="65"/>
      <x:c r="V74" s="65"/>
      <x:c r="W74" s="65"/>
      <x:c r="X74" s="65"/>
      <x:c r="Y74" s="65"/>
      <x:c r="Z74" s="65"/>
    </x:row>
    <x:row r="75">
      <x:c r="A75" s="65"/>
      <x:c r="B75" s="65"/>
      <x:c r="C75" s="65"/>
      <x:c r="D75" s="65"/>
      <x:c r="E75" s="65"/>
      <x:c r="F75" s="65"/>
      <x:c r="G75" s="65"/>
      <x:c r="H75" s="65"/>
      <x:c r="I75" s="65"/>
      <x:c r="J75" s="65"/>
      <x:c r="K75" s="65"/>
      <x:c r="L75" s="65"/>
      <x:c r="M75" s="65"/>
      <x:c r="N75" s="65"/>
      <x:c r="O75" s="65"/>
      <x:c r="P75" s="65"/>
      <x:c r="Q75" s="65"/>
      <x:c r="R75" s="65"/>
      <x:c r="S75" s="65"/>
      <x:c r="T75" s="65"/>
      <x:c r="U75" s="65"/>
      <x:c r="V75" s="65"/>
      <x:c r="W75" s="65"/>
      <x:c r="X75" s="65"/>
      <x:c r="Y75" s="65"/>
      <x:c r="Z75" s="65"/>
    </x:row>
    <x:row r="76">
      <x:c r="A76" s="65"/>
      <x:c r="B76" s="65"/>
      <x:c r="C76" s="65"/>
      <x:c r="D76" s="65"/>
      <x:c r="E76" s="65"/>
      <x:c r="F76" s="65"/>
      <x:c r="G76" s="65"/>
      <x:c r="H76" s="65"/>
      <x:c r="I76" s="65"/>
      <x:c r="J76" s="65"/>
      <x:c r="K76" s="65"/>
      <x:c r="L76" s="65"/>
      <x:c r="M76" s="65"/>
      <x:c r="N76" s="65"/>
      <x:c r="O76" s="65"/>
      <x:c r="P76" s="65"/>
      <x:c r="Q76" s="65"/>
      <x:c r="R76" s="65"/>
      <x:c r="S76" s="65"/>
      <x:c r="T76" s="65"/>
      <x:c r="U76" s="65"/>
      <x:c r="V76" s="65"/>
      <x:c r="W76" s="65"/>
      <x:c r="X76" s="65"/>
      <x:c r="Y76" s="65"/>
      <x:c r="Z76" s="65"/>
    </x:row>
    <x:row r="77">
      <x:c r="A77" s="65"/>
      <x:c r="B77" s="65"/>
      <x:c r="C77" s="65"/>
      <x:c r="D77" s="65"/>
      <x:c r="E77" s="65"/>
      <x:c r="F77" s="65"/>
      <x:c r="G77" s="65"/>
      <x:c r="H77" s="65"/>
      <x:c r="I77" s="65"/>
      <x:c r="J77" s="65"/>
      <x:c r="K77" s="65"/>
      <x:c r="L77" s="65"/>
      <x:c r="M77" s="65"/>
      <x:c r="N77" s="65"/>
      <x:c r="O77" s="65"/>
      <x:c r="P77" s="65"/>
      <x:c r="Q77" s="65"/>
      <x:c r="R77" s="65"/>
      <x:c r="S77" s="65"/>
      <x:c r="T77" s="65"/>
      <x:c r="U77" s="65"/>
      <x:c r="V77" s="65"/>
      <x:c r="W77" s="65"/>
      <x:c r="X77" s="65"/>
      <x:c r="Y77" s="65"/>
      <x:c r="Z77" s="65"/>
    </x:row>
    <x:row r="78">
      <x:c r="A78" s="65"/>
      <x:c r="B78" s="65"/>
      <x:c r="C78" s="65"/>
      <x:c r="D78" s="65"/>
      <x:c r="E78" s="65"/>
      <x:c r="F78" s="65"/>
      <x:c r="G78" s="65"/>
      <x:c r="H78" s="65"/>
      <x:c r="I78" s="65"/>
      <x:c r="J78" s="65"/>
      <x:c r="K78" s="65"/>
      <x:c r="L78" s="65"/>
      <x:c r="M78" s="65"/>
      <x:c r="N78" s="65"/>
      <x:c r="O78" s="65"/>
      <x:c r="P78" s="65"/>
      <x:c r="Q78" s="65"/>
      <x:c r="R78" s="65"/>
      <x:c r="S78" s="65"/>
      <x:c r="T78" s="65"/>
      <x:c r="U78" s="65"/>
      <x:c r="V78" s="65"/>
      <x:c r="W78" s="65"/>
      <x:c r="X78" s="65"/>
      <x:c r="Y78" s="65"/>
      <x:c r="Z78" s="65"/>
    </x:row>
    <x:row r="79">
      <x:c r="A79" s="65"/>
      <x:c r="B79" s="65"/>
      <x:c r="C79" s="65"/>
      <x:c r="D79" s="65"/>
      <x:c r="E79" s="65"/>
      <x:c r="F79" s="65"/>
      <x:c r="G79" s="65"/>
      <x:c r="H79" s="65"/>
      <x:c r="I79" s="65"/>
      <x:c r="J79" s="65"/>
      <x:c r="K79" s="65"/>
      <x:c r="L79" s="65"/>
      <x:c r="M79" s="65"/>
      <x:c r="N79" s="65"/>
      <x:c r="O79" s="65"/>
      <x:c r="P79" s="65"/>
      <x:c r="Q79" s="65"/>
      <x:c r="R79" s="65"/>
      <x:c r="S79" s="65"/>
      <x:c r="T79" s="65"/>
      <x:c r="U79" s="65"/>
      <x:c r="V79" s="65"/>
      <x:c r="W79" s="65"/>
      <x:c r="X79" s="65"/>
      <x:c r="Y79" s="65"/>
      <x:c r="Z79" s="65"/>
    </x:row>
    <x:row r="80">
      <x:c r="A80" s="65"/>
      <x:c r="B80" s="65"/>
      <x:c r="C80" s="65"/>
      <x:c r="D80" s="65"/>
      <x:c r="E80" s="65"/>
      <x:c r="F80" s="65"/>
      <x:c r="G80" s="65"/>
      <x:c r="H80" s="65"/>
      <x:c r="I80" s="65"/>
      <x:c r="J80" s="65"/>
      <x:c r="K80" s="65"/>
      <x:c r="L80" s="65"/>
      <x:c r="M80" s="65"/>
      <x:c r="N80" s="65"/>
      <x:c r="O80" s="65"/>
      <x:c r="P80" s="65"/>
      <x:c r="Q80" s="65"/>
      <x:c r="R80" s="65"/>
      <x:c r="S80" s="65"/>
      <x:c r="T80" s="65"/>
      <x:c r="U80" s="65"/>
      <x:c r="V80" s="65"/>
      <x:c r="W80" s="65"/>
      <x:c r="X80" s="65"/>
      <x:c r="Y80" s="65"/>
      <x:c r="Z80" s="65"/>
    </x:row>
    <x:row r="81">
      <x:c r="A81" s="65"/>
      <x:c r="B81" s="65"/>
      <x:c r="C81" s="65"/>
      <x:c r="D81" s="65"/>
      <x:c r="E81" s="65"/>
      <x:c r="F81" s="65"/>
      <x:c r="G81" s="65"/>
      <x:c r="H81" s="65"/>
      <x:c r="I81" s="65"/>
      <x:c r="J81" s="65"/>
      <x:c r="K81" s="65"/>
      <x:c r="L81" s="65"/>
      <x:c r="M81" s="65"/>
      <x:c r="N81" s="65"/>
      <x:c r="O81" s="65"/>
      <x:c r="P81" s="65"/>
      <x:c r="Q81" s="65"/>
      <x:c r="R81" s="65"/>
      <x:c r="S81" s="65"/>
      <x:c r="T81" s="65"/>
      <x:c r="U81" s="65"/>
      <x:c r="V81" s="65"/>
      <x:c r="W81" s="65"/>
      <x:c r="X81" s="65"/>
      <x:c r="Y81" s="65"/>
      <x:c r="Z81" s="65"/>
    </x:row>
    <x:row r="82">
      <x:c r="A82" s="65"/>
      <x:c r="B82" s="65"/>
      <x:c r="C82" s="65"/>
      <x:c r="D82" s="65"/>
      <x:c r="E82" s="65"/>
      <x:c r="F82" s="65"/>
      <x:c r="G82" s="65"/>
      <x:c r="H82" s="65"/>
      <x:c r="I82" s="65"/>
      <x:c r="J82" s="65"/>
      <x:c r="K82" s="65"/>
      <x:c r="L82" s="65"/>
      <x:c r="M82" s="65"/>
      <x:c r="N82" s="65"/>
      <x:c r="O82" s="65"/>
      <x:c r="P82" s="65"/>
      <x:c r="Q82" s="65"/>
      <x:c r="R82" s="65"/>
      <x:c r="S82" s="65"/>
      <x:c r="T82" s="65"/>
      <x:c r="U82" s="65"/>
      <x:c r="V82" s="65"/>
      <x:c r="W82" s="65"/>
      <x:c r="X82" s="65"/>
      <x:c r="Y82" s="65"/>
      <x:c r="Z82" s="65"/>
    </x:row>
    <x:row r="83">
      <x:c r="A83" s="65"/>
      <x:c r="B83" s="65"/>
      <x:c r="C83" s="65"/>
      <x:c r="D83" s="65"/>
      <x:c r="E83" s="65"/>
      <x:c r="F83" s="65"/>
      <x:c r="G83" s="65"/>
      <x:c r="H83" s="65"/>
      <x:c r="I83" s="65"/>
      <x:c r="J83" s="65"/>
      <x:c r="K83" s="65"/>
      <x:c r="L83" s="65"/>
      <x:c r="M83" s="65"/>
      <x:c r="N83" s="65"/>
      <x:c r="O83" s="65"/>
      <x:c r="P83" s="65"/>
      <x:c r="Q83" s="65"/>
      <x:c r="R83" s="65"/>
      <x:c r="S83" s="65"/>
      <x:c r="T83" s="65"/>
      <x:c r="U83" s="65"/>
      <x:c r="V83" s="65"/>
      <x:c r="W83" s="65"/>
      <x:c r="X83" s="65"/>
      <x:c r="Y83" s="65"/>
      <x:c r="Z83" s="65"/>
    </x:row>
    <x:row r="84">
      <x:c r="A84" s="65"/>
      <x:c r="B84" s="65"/>
      <x:c r="C84" s="65"/>
      <x:c r="D84" s="65"/>
      <x:c r="E84" s="65"/>
      <x:c r="F84" s="65"/>
      <x:c r="G84" s="65"/>
      <x:c r="H84" s="65"/>
      <x:c r="I84" s="65"/>
      <x:c r="J84" s="65"/>
      <x:c r="K84" s="65"/>
      <x:c r="L84" s="65"/>
      <x:c r="M84" s="65"/>
      <x:c r="N84" s="65"/>
      <x:c r="O84" s="65"/>
      <x:c r="P84" s="65"/>
      <x:c r="Q84" s="65"/>
      <x:c r="R84" s="65"/>
      <x:c r="S84" s="65"/>
      <x:c r="T84" s="65"/>
      <x:c r="U84" s="65"/>
      <x:c r="V84" s="65"/>
      <x:c r="W84" s="65"/>
      <x:c r="X84" s="65"/>
      <x:c r="Y84" s="65"/>
      <x:c r="Z84" s="65"/>
    </x:row>
    <x:row r="85">
      <x:c r="A85" s="65"/>
      <x:c r="B85" s="65"/>
      <x:c r="C85" s="65"/>
      <x:c r="D85" s="65"/>
      <x:c r="E85" s="65"/>
      <x:c r="F85" s="65"/>
      <x:c r="G85" s="65"/>
      <x:c r="H85" s="65"/>
      <x:c r="I85" s="65"/>
      <x:c r="J85" s="65"/>
      <x:c r="K85" s="65"/>
      <x:c r="L85" s="65"/>
      <x:c r="M85" s="65"/>
      <x:c r="N85" s="65"/>
      <x:c r="O85" s="65"/>
      <x:c r="P85" s="65"/>
      <x:c r="Q85" s="65"/>
      <x:c r="R85" s="65"/>
      <x:c r="S85" s="65"/>
      <x:c r="T85" s="65"/>
      <x:c r="U85" s="65"/>
      <x:c r="V85" s="65"/>
      <x:c r="W85" s="65"/>
      <x:c r="X85" s="65"/>
      <x:c r="Y85" s="65"/>
      <x:c r="Z85" s="65"/>
    </x:row>
    <x:row r="86">
      <x:c r="A86" s="65"/>
      <x:c r="B86" s="65"/>
      <x:c r="C86" s="65"/>
      <x:c r="D86" s="65"/>
      <x:c r="E86" s="65"/>
      <x:c r="F86" s="65"/>
      <x:c r="G86" s="65"/>
      <x:c r="H86" s="65"/>
      <x:c r="I86" s="65"/>
      <x:c r="J86" s="65"/>
      <x:c r="K86" s="65"/>
      <x:c r="L86" s="65"/>
      <x:c r="M86" s="65"/>
      <x:c r="N86" s="65"/>
      <x:c r="O86" s="65"/>
      <x:c r="P86" s="65"/>
      <x:c r="Q86" s="65"/>
      <x:c r="R86" s="65"/>
      <x:c r="S86" s="65"/>
      <x:c r="T86" s="65"/>
      <x:c r="U86" s="65"/>
      <x:c r="V86" s="65"/>
      <x:c r="W86" s="65"/>
      <x:c r="X86" s="65"/>
      <x:c r="Y86" s="65"/>
      <x:c r="Z86" s="65"/>
    </x:row>
    <x:row r="87">
      <x:c r="A87" s="65"/>
      <x:c r="B87" s="65"/>
      <x:c r="C87" s="65"/>
      <x:c r="D87" s="65"/>
      <x:c r="E87" s="65"/>
      <x:c r="F87" s="65"/>
      <x:c r="G87" s="65"/>
      <x:c r="H87" s="65"/>
      <x:c r="I87" s="65"/>
      <x:c r="J87" s="65"/>
      <x:c r="K87" s="65"/>
      <x:c r="L87" s="65"/>
      <x:c r="M87" s="65"/>
      <x:c r="N87" s="65"/>
      <x:c r="O87" s="65"/>
      <x:c r="P87" s="65"/>
      <x:c r="Q87" s="65"/>
      <x:c r="R87" s="65"/>
      <x:c r="S87" s="65"/>
      <x:c r="T87" s="65"/>
      <x:c r="U87" s="65"/>
      <x:c r="V87" s="65"/>
      <x:c r="W87" s="65"/>
      <x:c r="X87" s="65"/>
      <x:c r="Y87" s="65"/>
      <x:c r="Z87" s="65"/>
    </x:row>
    <x:row r="88">
      <x:c r="A88" s="65"/>
      <x:c r="B88" s="65"/>
      <x:c r="C88" s="65"/>
      <x:c r="D88" s="65"/>
      <x:c r="E88" s="65"/>
      <x:c r="F88" s="65"/>
      <x:c r="G88" s="65"/>
      <x:c r="H88" s="65"/>
      <x:c r="I88" s="65"/>
      <x:c r="J88" s="65"/>
      <x:c r="K88" s="65"/>
      <x:c r="L88" s="65"/>
      <x:c r="M88" s="65"/>
      <x:c r="N88" s="65"/>
      <x:c r="O88" s="65"/>
      <x:c r="P88" s="65"/>
      <x:c r="Q88" s="65"/>
      <x:c r="R88" s="65"/>
      <x:c r="S88" s="65"/>
      <x:c r="T88" s="65"/>
      <x:c r="U88" s="65"/>
      <x:c r="V88" s="65"/>
      <x:c r="W88" s="65"/>
      <x:c r="X88" s="65"/>
      <x:c r="Y88" s="65"/>
      <x:c r="Z88" s="65"/>
    </x:row>
    <x:row r="89">
      <x:c r="A89" s="65"/>
      <x:c r="B89" s="65"/>
      <x:c r="C89" s="65"/>
      <x:c r="D89" s="65"/>
      <x:c r="E89" s="65"/>
      <x:c r="F89" s="65"/>
      <x:c r="G89" s="65"/>
      <x:c r="H89" s="65"/>
      <x:c r="I89" s="65"/>
      <x:c r="J89" s="65"/>
      <x:c r="K89" s="65"/>
      <x:c r="L89" s="65"/>
      <x:c r="M89" s="65"/>
      <x:c r="N89" s="65"/>
      <x:c r="O89" s="65"/>
      <x:c r="P89" s="65"/>
      <x:c r="Q89" s="65"/>
      <x:c r="R89" s="65"/>
      <x:c r="S89" s="65"/>
      <x:c r="T89" s="65"/>
      <x:c r="U89" s="65"/>
      <x:c r="V89" s="65"/>
      <x:c r="W89" s="65"/>
      <x:c r="X89" s="65"/>
      <x:c r="Y89" s="65"/>
      <x:c r="Z89" s="65"/>
    </x:row>
    <x:row r="90">
      <x:c r="A90" s="65"/>
      <x:c r="B90" s="65"/>
      <x:c r="C90" s="65"/>
      <x:c r="D90" s="65"/>
      <x:c r="E90" s="65"/>
      <x:c r="F90" s="65"/>
      <x:c r="G90" s="65"/>
      <x:c r="H90" s="65"/>
      <x:c r="I90" s="65"/>
      <x:c r="J90" s="65"/>
      <x:c r="K90" s="65"/>
      <x:c r="L90" s="65"/>
      <x:c r="M90" s="65"/>
      <x:c r="N90" s="65"/>
      <x:c r="O90" s="65"/>
      <x:c r="P90" s="65"/>
      <x:c r="Q90" s="65"/>
      <x:c r="R90" s="65"/>
      <x:c r="S90" s="65"/>
      <x:c r="T90" s="65"/>
      <x:c r="U90" s="65"/>
      <x:c r="V90" s="65"/>
      <x:c r="W90" s="65"/>
      <x:c r="X90" s="65"/>
      <x:c r="Y90" s="65"/>
      <x:c r="Z90" s="65"/>
    </x:row>
    <x:row r="91">
      <x:c r="A91" s="65"/>
      <x:c r="B91" s="65"/>
      <x:c r="C91" s="65"/>
      <x:c r="D91" s="65"/>
      <x:c r="E91" s="65"/>
      <x:c r="F91" s="65"/>
      <x:c r="G91" s="65"/>
      <x:c r="H91" s="65"/>
      <x:c r="I91" s="65"/>
      <x:c r="J91" s="65"/>
      <x:c r="K91" s="65"/>
      <x:c r="L91" s="65"/>
      <x:c r="M91" s="65"/>
      <x:c r="N91" s="65"/>
      <x:c r="O91" s="65"/>
      <x:c r="P91" s="65"/>
      <x:c r="Q91" s="65"/>
      <x:c r="R91" s="65"/>
      <x:c r="S91" s="65"/>
      <x:c r="T91" s="65"/>
      <x:c r="U91" s="65"/>
      <x:c r="V91" s="65"/>
      <x:c r="W91" s="65"/>
      <x:c r="X91" s="65"/>
      <x:c r="Y91" s="65"/>
      <x:c r="Z91" s="65"/>
    </x:row>
    <x:row r="92">
      <x:c r="A92" s="65"/>
      <x:c r="B92" s="65"/>
      <x:c r="C92" s="65"/>
      <x:c r="D92" s="65"/>
      <x:c r="E92" s="65"/>
      <x:c r="F92" s="65"/>
      <x:c r="G92" s="65"/>
      <x:c r="H92" s="65"/>
      <x:c r="I92" s="65"/>
      <x:c r="J92" s="65"/>
      <x:c r="K92" s="65"/>
      <x:c r="L92" s="65"/>
      <x:c r="M92" s="65"/>
      <x:c r="N92" s="65"/>
      <x:c r="O92" s="65"/>
      <x:c r="P92" s="65"/>
      <x:c r="Q92" s="65"/>
      <x:c r="R92" s="65"/>
      <x:c r="S92" s="65"/>
      <x:c r="T92" s="65"/>
      <x:c r="U92" s="65"/>
      <x:c r="V92" s="65"/>
      <x:c r="W92" s="65"/>
      <x:c r="X92" s="65"/>
      <x:c r="Y92" s="65"/>
      <x:c r="Z92" s="65"/>
    </x:row>
    <x:row r="93">
      <x:c r="A93" s="65"/>
      <x:c r="B93" s="65"/>
      <x:c r="C93" s="65"/>
      <x:c r="D93" s="65"/>
      <x:c r="E93" s="65"/>
      <x:c r="F93" s="65"/>
      <x:c r="G93" s="65"/>
      <x:c r="H93" s="65"/>
      <x:c r="I93" s="65"/>
      <x:c r="J93" s="65"/>
      <x:c r="K93" s="65"/>
      <x:c r="L93" s="65"/>
      <x:c r="M93" s="65"/>
      <x:c r="N93" s="65"/>
      <x:c r="O93" s="65"/>
      <x:c r="P93" s="65"/>
      <x:c r="Q93" s="65"/>
      <x:c r="R93" s="65"/>
      <x:c r="S93" s="65"/>
      <x:c r="T93" s="65"/>
      <x:c r="U93" s="65"/>
      <x:c r="V93" s="65"/>
      <x:c r="W93" s="65"/>
      <x:c r="X93" s="65"/>
      <x:c r="Y93" s="65"/>
      <x:c r="Z93" s="65"/>
    </x:row>
    <x:row r="94">
      <x:c r="A94" s="65"/>
      <x:c r="B94" s="65"/>
      <x:c r="C94" s="65"/>
      <x:c r="D94" s="65"/>
      <x:c r="E94" s="65"/>
      <x:c r="F94" s="65"/>
      <x:c r="G94" s="65"/>
      <x:c r="H94" s="65"/>
      <x:c r="I94" s="65"/>
      <x:c r="J94" s="65"/>
      <x:c r="K94" s="65"/>
      <x:c r="L94" s="65"/>
      <x:c r="M94" s="65"/>
      <x:c r="N94" s="65"/>
      <x:c r="O94" s="65"/>
      <x:c r="P94" s="65"/>
      <x:c r="Q94" s="65"/>
      <x:c r="R94" s="65"/>
      <x:c r="S94" s="65"/>
      <x:c r="T94" s="65"/>
      <x:c r="U94" s="65"/>
      <x:c r="V94" s="65"/>
      <x:c r="W94" s="65"/>
      <x:c r="X94" s="65"/>
      <x:c r="Y94" s="65"/>
      <x:c r="Z94" s="65"/>
    </x:row>
    <x:row r="95">
      <x:c r="A95" s="65"/>
      <x:c r="B95" s="65"/>
      <x:c r="C95" s="65"/>
      <x:c r="D95" s="65"/>
      <x:c r="E95" s="65"/>
      <x:c r="F95" s="65"/>
      <x:c r="G95" s="65"/>
      <x:c r="H95" s="65"/>
      <x:c r="I95" s="65"/>
      <x:c r="J95" s="65"/>
      <x:c r="K95" s="65"/>
      <x:c r="L95" s="65"/>
      <x:c r="M95" s="65"/>
      <x:c r="N95" s="65"/>
      <x:c r="O95" s="65"/>
      <x:c r="P95" s="65"/>
      <x:c r="Q95" s="65"/>
      <x:c r="R95" s="65"/>
      <x:c r="S95" s="65"/>
      <x:c r="T95" s="65"/>
      <x:c r="U95" s="65"/>
      <x:c r="V95" s="65"/>
      <x:c r="W95" s="65"/>
      <x:c r="X95" s="65"/>
      <x:c r="Y95" s="65"/>
      <x:c r="Z95" s="65"/>
    </x:row>
    <x:row r="96">
      <x:c r="A96" s="65"/>
      <x:c r="B96" s="65"/>
      <x:c r="C96" s="65"/>
      <x:c r="D96" s="65"/>
      <x:c r="E96" s="65"/>
      <x:c r="F96" s="65"/>
      <x:c r="G96" s="65"/>
      <x:c r="H96" s="65"/>
      <x:c r="I96" s="65"/>
      <x:c r="J96" s="65"/>
      <x:c r="K96" s="65"/>
      <x:c r="L96" s="65"/>
      <x:c r="M96" s="65"/>
      <x:c r="N96" s="65"/>
      <x:c r="O96" s="65"/>
      <x:c r="P96" s="65"/>
      <x:c r="Q96" s="65"/>
      <x:c r="R96" s="65"/>
      <x:c r="S96" s="65"/>
      <x:c r="T96" s="65"/>
      <x:c r="U96" s="65"/>
      <x:c r="V96" s="65"/>
      <x:c r="W96" s="65"/>
      <x:c r="X96" s="65"/>
      <x:c r="Y96" s="65"/>
      <x:c r="Z96" s="65"/>
    </x:row>
    <x:row r="97">
      <x:c r="A97" s="65"/>
      <x:c r="B97" s="65"/>
      <x:c r="C97" s="65"/>
      <x:c r="D97" s="65"/>
      <x:c r="E97" s="65"/>
      <x:c r="F97" s="65"/>
      <x:c r="G97" s="65"/>
      <x:c r="H97" s="65"/>
      <x:c r="I97" s="65"/>
      <x:c r="J97" s="65"/>
      <x:c r="K97" s="65"/>
      <x:c r="L97" s="65"/>
      <x:c r="M97" s="65"/>
      <x:c r="N97" s="65"/>
      <x:c r="O97" s="65"/>
      <x:c r="P97" s="65"/>
      <x:c r="Q97" s="65"/>
      <x:c r="R97" s="65"/>
      <x:c r="S97" s="65"/>
      <x:c r="T97" s="65"/>
      <x:c r="U97" s="65"/>
      <x:c r="V97" s="65"/>
      <x:c r="W97" s="65"/>
      <x:c r="X97" s="65"/>
      <x:c r="Y97" s="65"/>
      <x:c r="Z97" s="65"/>
    </x:row>
    <x:row r="98">
      <x:c r="A98" s="65"/>
      <x:c r="B98" s="65"/>
      <x:c r="C98" s="65"/>
      <x:c r="D98" s="65"/>
      <x:c r="E98" s="65"/>
      <x:c r="F98" s="65"/>
      <x:c r="G98" s="65"/>
      <x:c r="H98" s="65"/>
      <x:c r="I98" s="65"/>
      <x:c r="J98" s="65"/>
      <x:c r="K98" s="65"/>
      <x:c r="L98" s="65"/>
      <x:c r="M98" s="65"/>
      <x:c r="N98" s="65"/>
      <x:c r="O98" s="65"/>
      <x:c r="P98" s="65"/>
      <x:c r="Q98" s="65"/>
      <x:c r="R98" s="65"/>
      <x:c r="S98" s="65"/>
      <x:c r="T98" s="65"/>
      <x:c r="U98" s="65"/>
      <x:c r="V98" s="65"/>
      <x:c r="W98" s="65"/>
      <x:c r="X98" s="65"/>
      <x:c r="Y98" s="65"/>
      <x:c r="Z98" s="65"/>
    </x:row>
    <x:row r="99">
      <x:c r="A99" s="65"/>
      <x:c r="B99" s="65"/>
      <x:c r="C99" s="65"/>
      <x:c r="D99" s="65"/>
      <x:c r="E99" s="65"/>
      <x:c r="F99" s="65"/>
      <x:c r="G99" s="65"/>
      <x:c r="H99" s="65"/>
      <x:c r="I99" s="65"/>
      <x:c r="J99" s="65"/>
      <x:c r="K99" s="65"/>
      <x:c r="L99" s="65"/>
      <x:c r="M99" s="65"/>
      <x:c r="N99" s="65"/>
      <x:c r="O99" s="65"/>
      <x:c r="P99" s="65"/>
      <x:c r="Q99" s="65"/>
      <x:c r="R99" s="65"/>
      <x:c r="S99" s="65"/>
      <x:c r="T99" s="65"/>
      <x:c r="U99" s="65"/>
      <x:c r="V99" s="65"/>
      <x:c r="W99" s="65"/>
      <x:c r="X99" s="65"/>
      <x:c r="Y99" s="65"/>
      <x:c r="Z99" s="65"/>
    </x:row>
    <x:row r="100">
      <x:c r="A100" s="65"/>
      <x:c r="B100" s="65"/>
      <x:c r="C100" s="65"/>
      <x:c r="D100" s="65"/>
      <x:c r="E100" s="65"/>
      <x:c r="F100" s="65"/>
      <x:c r="G100" s="65"/>
      <x:c r="H100" s="65"/>
      <x:c r="I100" s="65"/>
      <x:c r="J100" s="65"/>
      <x:c r="K100" s="65"/>
      <x:c r="L100" s="65"/>
      <x:c r="M100" s="65"/>
      <x:c r="N100" s="65"/>
      <x:c r="O100" s="65"/>
      <x:c r="P100" s="65"/>
      <x:c r="Q100" s="65"/>
      <x:c r="R100" s="65"/>
      <x:c r="S100" s="65"/>
      <x:c r="T100" s="65"/>
      <x:c r="U100" s="65"/>
      <x:c r="V100" s="65"/>
      <x:c r="W100" s="65"/>
      <x:c r="X100" s="65"/>
      <x:c r="Y100" s="65"/>
      <x:c r="Z100" s="65"/>
    </x:row>
  </x:sheetData>
  <x:mergeCells>
    <x:mergeCell ref="A1:F1"/>
  </x:mergeCells>
  <x:pageMargins left="0.7" right="0.7" top="0.75" bottom="0.75" header="0.3" footer="0.3"/>
</x:worksheet>
</file>